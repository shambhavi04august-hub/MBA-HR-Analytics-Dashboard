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mploye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<sst xmlns="http://schemas.openxmlformats.org/spreadsheetml/2006/main" count="548" uniqueCount="61">
  <si>
    <t xml:space="preserve">HR ANALYTICS DASHBOARD</t>
  </si>
  <si>
    <t xml:space="preserve">Employee workforce overview — headcount, compensation, and performance</t>
  </si>
  <si>
    <t xml:space="preserve">Total Employees</t>
  </si>
  <si>
    <t xml:space="preserve">Average Salary</t>
  </si>
  <si>
    <t xml:space="preserve">Average Bonus</t>
  </si>
  <si>
    <t xml:space="preserve">Average Age</t>
  </si>
  <si>
    <t xml:space="preserve">Headcount &amp; Avg Salary by Department</t>
  </si>
  <si>
    <t xml:space="preserve">Performance Rating Distribution</t>
  </si>
  <si>
    <t xml:space="preserve">Department</t>
  </si>
  <si>
    <t xml:space="preserve">Headcount</t>
  </si>
  <si>
    <t xml:space="preserve">Avg Salary</t>
  </si>
  <si>
    <t xml:space="preserve">Avg Bonus</t>
  </si>
  <si>
    <t xml:space="preserve">Rating</t>
  </si>
  <si>
    <t xml:space="preserve">Count</t>
  </si>
  <si>
    <t xml:space="preserve">% of Total</t>
  </si>
  <si>
    <t xml:space="preserve">Finance</t>
  </si>
  <si>
    <t xml:space="preserve">A</t>
  </si>
  <si>
    <t xml:space="preserve">HR</t>
  </si>
  <si>
    <t xml:space="preserve">B</t>
  </si>
  <si>
    <t xml:space="preserve">IT</t>
  </si>
  <si>
    <t xml:space="preserve">C</t>
  </si>
  <si>
    <t xml:space="preserve">Marketing</t>
  </si>
  <si>
    <t xml:space="preserve">Sales</t>
  </si>
  <si>
    <t xml:space="preserve">Headcount &amp; Avg Salary by City</t>
  </si>
  <si>
    <t xml:space="preserve">Gender Split &amp; Avg Salary</t>
  </si>
  <si>
    <t xml:space="preserve">City</t>
  </si>
  <si>
    <t xml:space="preserve">Gender</t>
  </si>
  <si>
    <t xml:space="preserve">Bengaluru</t>
  </si>
  <si>
    <t xml:space="preserve">M</t>
  </si>
  <si>
    <t xml:space="preserve">Delhi</t>
  </si>
  <si>
    <t xml:space="preserve">F</t>
  </si>
  <si>
    <t xml:space="preserve">Hyderabad</t>
  </si>
  <si>
    <t xml:space="preserve">Mumbai</t>
  </si>
  <si>
    <t xml:space="preserve">Pune</t>
  </si>
  <si>
    <t xml:space="preserve">Emp_ID</t>
  </si>
  <si>
    <t xml:space="preserve">Name</t>
  </si>
  <si>
    <t xml:space="preserve">Age</t>
  </si>
  <si>
    <t xml:space="preserve">Join_Date</t>
  </si>
  <si>
    <t xml:space="preserve">Salary</t>
  </si>
  <si>
    <t xml:space="preserve">Performance</t>
  </si>
  <si>
    <t xml:space="preserve">Bonus</t>
  </si>
  <si>
    <t xml:space="preserve">Aarav</t>
  </si>
  <si>
    <t xml:space="preserve">Karan</t>
  </si>
  <si>
    <t xml:space="preserve">Dev</t>
  </si>
  <si>
    <t xml:space="preserve">Ananya</t>
  </si>
  <si>
    <t xml:space="preserve">Priya</t>
  </si>
  <si>
    <t xml:space="preserve">Vihaan</t>
  </si>
  <si>
    <t xml:space="preserve">Aisha</t>
  </si>
  <si>
    <t xml:space="preserve">Riya</t>
  </si>
  <si>
    <t xml:space="preserve">Meera</t>
  </si>
  <si>
    <t xml:space="preserve">Rohan</t>
  </si>
  <si>
    <t xml:space="preserve">Arjun</t>
  </si>
  <si>
    <t xml:space="preserve">Diya</t>
  </si>
  <si>
    <t xml:space="preserve">Aditya</t>
  </si>
  <si>
    <t xml:space="preserve">Vivaan</t>
  </si>
  <si>
    <t xml:space="preserve">Ishita</t>
  </si>
  <si>
    <t xml:space="preserve">Sneha</t>
  </si>
  <si>
    <t xml:space="preserve">Sai</t>
  </si>
  <si>
    <t xml:space="preserve">Rahul</t>
  </si>
  <si>
    <t xml:space="preserve">Kabir</t>
  </si>
  <si>
    <t xml:space="preserve">Neha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</si>
</sst>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\₹#,##0"/>
    <numFmt numFmtId="167" formatCode="0.0"/>
    <numFmt numFmtId="168" formatCode="0.0%"/>
    <numFmt numFmtId="169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D9E2F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Dashboard!D10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Dashboard!$B$11:$B$15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Dashboard!$D$11:$D$15</c:f>
              <c:numCache>
                <c:formatCode>0</c:formatCode>
                <c:ptCount val="5"/>
                <c:pt idx="0">
                  <c:v>75399.5238095238</c:v>
                </c:pt>
                <c:pt idx="1">
                  <c:v>82039.6111111111</c:v>
                </c:pt>
                <c:pt idx="2">
                  <c:v>66690.8125</c:v>
                </c:pt>
                <c:pt idx="3">
                  <c:v>69112.125</c:v>
                </c:pt>
                <c:pt idx="4">
                  <c:v>80246.4482758621</c:v>
                </c:pt>
              </c:numCache>
            </c:numRef>
          </c:val>
        </c:ser>
        <c:gapWidth val="150"/>
        <c:overlap val="0"/>
        <c:axId val="77877307"/>
        <c:axId val="49434490"/>
      </c:barChart>
      <c:catAx>
        <c:axId val="778773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34490"/>
        <c:crosses val="autoZero"/>
        <c:auto val="1"/>
        <c:lblAlgn val="ctr"/>
        <c:lblOffset val="100"/>
        <c:noMultiLvlLbl val="0"/>
      </c:catAx>
      <c:valAx>
        <c:axId val="49434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773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Performance 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Dashboard!J10</c:f>
              <c:strCache>
                <c:ptCount val="1"/>
                <c:pt idx="0">
                  <c:v>% of 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Dashboard!$I$11:$I$13</c:f>
              <c:strCache>
                <c:ptCount val="3"/>
                <c:pt idx="0">
                  <c:v>33</c:v>
                </c:pt>
                <c:pt idx="1">
                  <c:v>39</c:v>
                </c:pt>
                <c:pt idx="2">
                  <c:v>28</c:v>
                </c:pt>
              </c:strCache>
            </c:strRef>
          </c:cat>
          <c:val>
            <c:numRef>
              <c:f>Dashboard!$J$11:$J$13</c:f>
              <c:numCache>
                <c:formatCode>0.0%</c:formatCode>
                <c:ptCount val="3"/>
                <c:pt idx="0">
                  <c:v>0.33</c:v>
                </c:pt>
                <c:pt idx="1">
                  <c:v>0.39</c:v>
                </c:pt>
                <c:pt idx="2">
                  <c:v>0.28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Salary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Dashboard!$B$20:$B$24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Mumbai</c:v>
                </c:pt>
                <c:pt idx="4">
                  <c:v>Pune</c:v>
                </c:pt>
              </c:strCache>
            </c:strRef>
          </c:cat>
          <c:val>
            <c:numRef>
              <c:f>Dashboard!$E$20:$E$24</c:f>
              <c:numCache>
                <c:formatCode>General</c:formatCode>
                <c:ptCount val="5"/>
              </c:numCache>
            </c:numRef>
          </c:val>
        </c:ser>
        <c:gapWidth val="150"/>
        <c:overlap val="0"/>
        <c:axId val="58350868"/>
        <c:axId val="74462372"/>
      </c:barChart>
      <c:catAx>
        <c:axId val="583508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62372"/>
        <c:crosses val="autoZero"/>
        <c:auto val="1"/>
        <c:lblAlgn val="ctr"/>
        <c:lblOffset val="100"/>
        <c:noMultiLvlLbl val="0"/>
      </c:catAx>
      <c:valAx>
        <c:axId val="744623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Salary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508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Salary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Dashboard!J19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Dashboard!$I$20:$I$21</c:f>
              <c:strCache>
                <c:ptCount val="2"/>
                <c:pt idx="0">
                  <c:v>48</c:v>
                </c:pt>
                <c:pt idx="1">
                  <c:v>52</c:v>
                </c:pt>
              </c:strCache>
            </c:strRef>
          </c:cat>
          <c:val>
            <c:numRef>
              <c:f>Dashboard!$J$20:$J$21</c:f>
              <c:numCache>
                <c:formatCode>\₹#,##0</c:formatCode>
                <c:ptCount val="2"/>
                <c:pt idx="0">
                  <c:v>74789.75</c:v>
                </c:pt>
                <c:pt idx="1">
                  <c:v>76349.7884615385</c:v>
                </c:pt>
              </c:numCache>
            </c:numRef>
          </c:val>
        </c:ser>
        <c:gapWidth val="150"/>
        <c:overlap val="0"/>
        <c:axId val="70566302"/>
        <c:axId val="26946851"/>
      </c:barChart>
      <c:catAx>
        <c:axId val="7056630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Salary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46851"/>
        <c:crosses val="autoZero"/>
        <c:auto val="1"/>
        <c:lblAlgn val="ctr"/>
        <c:lblOffset val="100"/>
        <c:noMultiLvlLbl val="0"/>
      </c:catAx>
      <c:valAx>
        <c:axId val="26946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Gender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663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0</xdr:rowOff>
    </xdr:from>
    <xdr:to>
      <xdr:col>6</xdr:col>
      <xdr:colOff>161280</xdr:colOff>
      <xdr:row>38</xdr:row>
      <xdr:rowOff>32760</xdr:rowOff>
    </xdr:to>
    <xdr:graphicFrame>
      <xdr:nvGraphicFramePr>
        <xdr:cNvPr id="0" name="Chart 1"/>
        <xdr:cNvGraphicFramePr/>
      </xdr:nvGraphicFramePr>
      <xdr:xfrm>
        <a:off x="141120" y="502920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11</xdr:col>
      <xdr:colOff>427680</xdr:colOff>
      <xdr:row>38</xdr:row>
      <xdr:rowOff>32760</xdr:rowOff>
    </xdr:to>
    <xdr:graphicFrame>
      <xdr:nvGraphicFramePr>
        <xdr:cNvPr id="1" name="Chart 2"/>
        <xdr:cNvGraphicFramePr/>
      </xdr:nvGraphicFramePr>
      <xdr:xfrm>
        <a:off x="5286240" y="5029200"/>
        <a:ext cx="35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41</xdr:row>
      <xdr:rowOff>0</xdr:rowOff>
    </xdr:from>
    <xdr:to>
      <xdr:col>6</xdr:col>
      <xdr:colOff>161280</xdr:colOff>
      <xdr:row>55</xdr:row>
      <xdr:rowOff>32760</xdr:rowOff>
    </xdr:to>
    <xdr:graphicFrame>
      <xdr:nvGraphicFramePr>
        <xdr:cNvPr id="2" name="Chart 3"/>
        <xdr:cNvGraphicFramePr/>
      </xdr:nvGraphicFramePr>
      <xdr:xfrm>
        <a:off x="141120" y="826776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41</xdr:row>
      <xdr:rowOff>0</xdr:rowOff>
    </xdr:from>
    <xdr:to>
      <xdr:col>11</xdr:col>
      <xdr:colOff>427680</xdr:colOff>
      <xdr:row>55</xdr:row>
      <xdr:rowOff>32760</xdr:rowOff>
    </xdr:to>
    <xdr:graphicFrame>
      <xdr:nvGraphicFramePr>
        <xdr:cNvPr id="3" name="Chart 4"/>
        <xdr:cNvGraphicFramePr/>
      </xdr:nvGraphicFramePr>
      <xdr:xfrm>
        <a:off x="5286240" y="8267760"/>
        <a:ext cx="35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5" min="2" style="0" width="14"/>
    <col collapsed="false" customWidth="true" hidden="false" outlineLevel="0" max="6" min="6" style="0" width="3"/>
    <col collapsed="false" customWidth="true" hidden="false" outlineLevel="0" max="10" min="7" style="0" width="14"/>
    <col collapsed="false" customWidth="true" hidden="false" outlineLevel="0" max="11" min="11" style="0" width="3"/>
    <col collapsed="false" customWidth="true" hidden="false" outlineLevel="0" max="12" min="12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19.5" hidden="false" customHeight="tru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30" hidden="false" customHeight="true" outlineLevel="0" collapsed="false">
      <c r="B6" s="4" t="n">
        <f aca="false">COUNTA(Employees!A2:A101)</f>
        <v>100</v>
      </c>
      <c r="C6" s="4"/>
      <c r="D6" s="5" t="n">
        <f aca="false">AVERAGE(Employees!H2:H101)</f>
        <v>75600.97</v>
      </c>
      <c r="E6" s="5"/>
      <c r="F6" s="5" t="n">
        <f aca="false">AVERAGE(Employees!J2:J101)</f>
        <v>17616.18</v>
      </c>
      <c r="G6" s="5"/>
      <c r="H6" s="6" t="n">
        <f aca="false">AVERAGE(Employees!F2:F101)</f>
        <v>41.44</v>
      </c>
      <c r="I6" s="6"/>
    </row>
    <row r="9" customFormat="false" ht="15" hidden="false" customHeight="false" outlineLevel="0" collapsed="false">
      <c r="B9" s="7" t="s">
        <v>6</v>
      </c>
      <c r="H9" s="7" t="s">
        <v>7</v>
      </c>
    </row>
    <row r="10" customFormat="false" ht="15" hidden="false" customHeight="false" outlineLevel="0" collapsed="false">
      <c r="B10" s="8" t="s">
        <v>8</v>
      </c>
      <c r="C10" s="8" t="s">
        <v>9</v>
      </c>
      <c r="D10" s="8" t="s">
        <v>10</v>
      </c>
      <c r="E10" s="8" t="s">
        <v>11</v>
      </c>
      <c r="H10" s="8" t="s">
        <v>12</v>
      </c>
      <c r="I10" s="8" t="s">
        <v>13</v>
      </c>
      <c r="J10" s="8" t="s">
        <v>14</v>
      </c>
    </row>
    <row r="11" customFormat="false" ht="15" hidden="false" customHeight="false" outlineLevel="0" collapsed="false">
      <c r="B11" s="9" t="s">
        <v>15</v>
      </c>
      <c r="C11" s="9" t="n">
        <f aca="false">COUNTIF(Employees!$C$2:$C$101,"Finance")</f>
        <v>21</v>
      </c>
      <c r="D11" s="10" t="n">
        <f aca="false">AVERAGEIF(Employees!$C$2:$C$101,"Finance",Employees!$H$2:$H$101)</f>
        <v>75399.5238095238</v>
      </c>
      <c r="E11" s="11" t="n">
        <f aca="false">AVERAGEIF(Employees!$C$2:$C$101,"Finance",Employees!$J$2:$J$101)</f>
        <v>19370.7619047619</v>
      </c>
      <c r="F11" s="12"/>
      <c r="H11" s="9" t="s">
        <v>16</v>
      </c>
      <c r="I11" s="10" t="n">
        <f aca="false">COUNTIF(Employees!$I$2:$I$101,"A")</f>
        <v>33</v>
      </c>
      <c r="J11" s="13" t="n">
        <f aca="false">COUNTIF(Employees!$I$2:$I$101,"A")/COUNTA(Employees!$I$2:$I$101)</f>
        <v>0.33</v>
      </c>
    </row>
    <row r="12" customFormat="false" ht="15" hidden="false" customHeight="false" outlineLevel="0" collapsed="false">
      <c r="B12" s="14" t="s">
        <v>17</v>
      </c>
      <c r="C12" s="14" t="n">
        <f aca="false">COUNTIF(Employees!$C$2:$C$101,"HR")</f>
        <v>18</v>
      </c>
      <c r="D12" s="15" t="n">
        <f aca="false">AVERAGEIF(Employees!$C$2:$C$101,"HR",Employees!$H$2:$H$101)</f>
        <v>82039.6111111111</v>
      </c>
      <c r="E12" s="16" t="n">
        <f aca="false">AVERAGEIF(Employees!$C$2:$C$101,"HR",Employees!$J$2:$J$101)</f>
        <v>14218.7777777778</v>
      </c>
      <c r="F12" s="12"/>
      <c r="H12" s="14" t="s">
        <v>18</v>
      </c>
      <c r="I12" s="15" t="n">
        <f aca="false">COUNTIF(Employees!$I$2:$I$101,"B")</f>
        <v>39</v>
      </c>
      <c r="J12" s="17" t="n">
        <f aca="false">COUNTIF(Employees!$I$2:$I$101,"B")/COUNTA(Employees!$I$2:$I$101)</f>
        <v>0.39</v>
      </c>
    </row>
    <row r="13" customFormat="false" ht="15" hidden="false" customHeight="false" outlineLevel="0" collapsed="false">
      <c r="B13" s="9" t="s">
        <v>19</v>
      </c>
      <c r="C13" s="9" t="n">
        <f aca="false">COUNTIF(Employees!$C$2:$C$101,"IT")</f>
        <v>16</v>
      </c>
      <c r="D13" s="10" t="n">
        <f aca="false">AVERAGEIF(Employees!$C$2:$C$101,"IT",Employees!$H$2:$H$101)</f>
        <v>66690.8125</v>
      </c>
      <c r="E13" s="11" t="n">
        <f aca="false">AVERAGEIF(Employees!$C$2:$C$101,"IT",Employees!$J$2:$J$101)</f>
        <v>18708.6875</v>
      </c>
      <c r="F13" s="12"/>
      <c r="H13" s="9" t="s">
        <v>20</v>
      </c>
      <c r="I13" s="10" t="n">
        <f aca="false">COUNTIF(Employees!$I$2:$I$101,"C")</f>
        <v>28</v>
      </c>
      <c r="J13" s="13" t="n">
        <f aca="false">COUNTIF(Employees!$I$2:$I$101,"C")/COUNTA(Employees!$I$2:$I$101)</f>
        <v>0.28</v>
      </c>
    </row>
    <row r="14" customFormat="false" ht="15" hidden="false" customHeight="false" outlineLevel="0" collapsed="false">
      <c r="B14" s="14" t="s">
        <v>21</v>
      </c>
      <c r="C14" s="14" t="n">
        <f aca="false">COUNTIF(Employees!$C$2:$C$101,"Marketing")</f>
        <v>16</v>
      </c>
      <c r="D14" s="15" t="n">
        <f aca="false">AVERAGEIF(Employees!$C$2:$C$101,"Marketing",Employees!$H$2:$H$101)</f>
        <v>69112.125</v>
      </c>
      <c r="E14" s="16" t="n">
        <f aca="false">AVERAGEIF(Employees!$C$2:$C$101,"Marketing",Employees!$J$2:$J$101)</f>
        <v>16490.75</v>
      </c>
      <c r="F14" s="12"/>
    </row>
    <row r="15" customFormat="false" ht="15" hidden="false" customHeight="false" outlineLevel="0" collapsed="false">
      <c r="B15" s="9" t="s">
        <v>22</v>
      </c>
      <c r="C15" s="9" t="n">
        <f aca="false">COUNTIF(Employees!$C$2:$C$101,"Sales")</f>
        <v>29</v>
      </c>
      <c r="D15" s="10" t="n">
        <f aca="false">AVERAGEIF(Employees!$C$2:$C$101,"Sales",Employees!$H$2:$H$101)</f>
        <v>80246.4482758621</v>
      </c>
      <c r="E15" s="11" t="n">
        <f aca="false">AVERAGEIF(Employees!$C$2:$C$101,"Sales",Employees!$J$2:$J$101)</f>
        <v>18472.5172413793</v>
      </c>
      <c r="F15" s="12"/>
    </row>
    <row r="18" customFormat="false" ht="15" hidden="false" customHeight="false" outlineLevel="0" collapsed="false">
      <c r="B18" s="7" t="s">
        <v>23</v>
      </c>
      <c r="H18" s="7" t="s">
        <v>24</v>
      </c>
    </row>
    <row r="19" customFormat="false" ht="15" hidden="false" customHeight="false" outlineLevel="0" collapsed="false">
      <c r="B19" s="8" t="s">
        <v>25</v>
      </c>
      <c r="C19" s="8" t="s">
        <v>9</v>
      </c>
      <c r="D19" s="8" t="s">
        <v>10</v>
      </c>
      <c r="H19" s="8" t="s">
        <v>26</v>
      </c>
      <c r="I19" s="8" t="s">
        <v>9</v>
      </c>
      <c r="J19" s="8" t="s">
        <v>10</v>
      </c>
    </row>
    <row r="20" customFormat="false" ht="15" hidden="false" customHeight="false" outlineLevel="0" collapsed="false">
      <c r="B20" s="9" t="s">
        <v>27</v>
      </c>
      <c r="C20" s="9" t="n">
        <f aca="false">COUNTIF(Employees!$D$2:$D$101,"Bengaluru")</f>
        <v>26</v>
      </c>
      <c r="D20" s="10" t="n">
        <f aca="false">AVERAGEIF(Employees!$D$2:$D$101,"Bengaluru",Employees!$H$2:$H$101)</f>
        <v>71898.5384615385</v>
      </c>
      <c r="E20" s="12"/>
      <c r="H20" s="9" t="s">
        <v>28</v>
      </c>
      <c r="I20" s="10" t="n">
        <f aca="false">COUNTIF(Employees!$E$2:$E$101,"M")</f>
        <v>48</v>
      </c>
      <c r="J20" s="11" t="n">
        <f aca="false">AVERAGEIF(Employees!$E$2:$E$101,"M",Employees!$H$2:$H$101)</f>
        <v>74789.75</v>
      </c>
    </row>
    <row r="21" customFormat="false" ht="15" hidden="false" customHeight="false" outlineLevel="0" collapsed="false">
      <c r="B21" s="14" t="s">
        <v>29</v>
      </c>
      <c r="C21" s="14" t="n">
        <f aca="false">COUNTIF(Employees!$D$2:$D$101,"Delhi")</f>
        <v>18</v>
      </c>
      <c r="D21" s="15" t="n">
        <f aca="false">AVERAGEIF(Employees!$D$2:$D$101,"Delhi",Employees!$H$2:$H$101)</f>
        <v>71876.5555555556</v>
      </c>
      <c r="E21" s="12"/>
      <c r="H21" s="14" t="s">
        <v>30</v>
      </c>
      <c r="I21" s="15" t="n">
        <f aca="false">COUNTIF(Employees!$E$2:$E$101,"F")</f>
        <v>52</v>
      </c>
      <c r="J21" s="16" t="n">
        <f aca="false">AVERAGEIF(Employees!$E$2:$E$101,"F",Employees!$H$2:$H$101)</f>
        <v>76349.7884615385</v>
      </c>
    </row>
    <row r="22" customFormat="false" ht="15" hidden="false" customHeight="false" outlineLevel="0" collapsed="false">
      <c r="B22" s="9" t="s">
        <v>31</v>
      </c>
      <c r="C22" s="9" t="n">
        <f aca="false">COUNTIF(Employees!$D$2:$D$101,"Hyderabad")</f>
        <v>20</v>
      </c>
      <c r="D22" s="10" t="n">
        <f aca="false">AVERAGEIF(Employees!$D$2:$D$101,"Hyderabad",Employees!$H$2:$H$101)</f>
        <v>76928.5</v>
      </c>
      <c r="E22" s="12"/>
    </row>
    <row r="23" customFormat="false" ht="15" hidden="false" customHeight="false" outlineLevel="0" collapsed="false">
      <c r="B23" s="14" t="s">
        <v>32</v>
      </c>
      <c r="C23" s="14" t="n">
        <f aca="false">COUNTIF(Employees!$D$2:$D$101,"Mumbai")</f>
        <v>22</v>
      </c>
      <c r="D23" s="15" t="n">
        <f aca="false">AVERAGEIF(Employees!$D$2:$D$101,"Mumbai",Employees!$H$2:$H$101)</f>
        <v>79968.8181818182</v>
      </c>
      <c r="E23" s="12"/>
    </row>
    <row r="24" customFormat="false" ht="15" hidden="false" customHeight="false" outlineLevel="0" collapsed="false">
      <c r="B24" s="9" t="s">
        <v>33</v>
      </c>
      <c r="C24" s="9" t="n">
        <f aca="false">COUNTIF(Employees!$D$2:$D$101,"Pune")</f>
        <v>14</v>
      </c>
      <c r="D24" s="10" t="n">
        <f aca="false">AVERAGEIF(Employees!$D$2:$D$101,"Pune",Employees!$H$2:$H$101)</f>
        <v>78505.2142857143</v>
      </c>
      <c r="E24" s="12"/>
    </row>
  </sheetData>
  <mergeCells count="10">
    <mergeCell ref="A1:L2"/>
    <mergeCell ref="A3:L3"/>
    <mergeCell ref="B5:C5"/>
    <mergeCell ref="D5:E5"/>
    <mergeCell ref="F5:G5"/>
    <mergeCell ref="H5:I5"/>
    <mergeCell ref="B6:C6"/>
    <mergeCell ref="D6:E6"/>
    <mergeCell ref="F6:G6"/>
    <mergeCell ref="H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75" colorId="64" zoomScale="100" zoomScaleNormal="100" zoomScalePageLayoutView="100" workbookViewId="0">
      <pane xSplit="0" ySplit="1" topLeftCell="A2" activePane="bottomLeft" state="frozen"/>
      <selection pane="topLeft" activeCell="A75" activeCellId="0" sqref="A75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10"/>
  </cols>
  <sheetData>
    <row r="1" customFormat="false" ht="14.25" hidden="false" customHeight="false" outlineLevel="0" collapsed="false">
      <c r="A1" s="18" t="s">
        <v>34</v>
      </c>
      <c r="B1" s="18" t="s">
        <v>35</v>
      </c>
      <c r="C1" s="18" t="s">
        <v>8</v>
      </c>
      <c r="D1" s="18" t="s">
        <v>25</v>
      </c>
      <c r="E1" s="18" t="s">
        <v>26</v>
      </c>
      <c r="F1" s="18" t="s">
        <v>36</v>
      </c>
      <c r="G1" s="18" t="s">
        <v>37</v>
      </c>
      <c r="H1" s="18" t="s">
        <v>38</v>
      </c>
      <c r="I1" s="18" t="s">
        <v>39</v>
      </c>
      <c r="J1" s="18" t="s">
        <v>40</v>
      </c>
    </row>
    <row r="2" customFormat="false" ht="14.25" hidden="false" customHeight="false" outlineLevel="0" collapsed="false">
      <c r="A2" s="19" t="n">
        <v>1</v>
      </c>
      <c r="B2" s="19" t="s">
        <v>41</v>
      </c>
      <c r="C2" s="19" t="s">
        <v>22</v>
      </c>
      <c r="D2" s="19" t="s">
        <v>33</v>
      </c>
      <c r="E2" s="19" t="s">
        <v>28</v>
      </c>
      <c r="F2" s="19" t="n">
        <v>39</v>
      </c>
      <c r="G2" s="20" t="n">
        <v>44657</v>
      </c>
      <c r="H2" s="19" t="n">
        <v>110368</v>
      </c>
      <c r="I2" s="19" t="s">
        <v>16</v>
      </c>
      <c r="J2" s="19" t="n">
        <v>24998</v>
      </c>
    </row>
    <row r="3" customFormat="false" ht="14.25" hidden="false" customHeight="false" outlineLevel="0" collapsed="false">
      <c r="A3" s="21" t="n">
        <v>2</v>
      </c>
      <c r="B3" s="21" t="s">
        <v>42</v>
      </c>
      <c r="C3" s="21" t="s">
        <v>22</v>
      </c>
      <c r="D3" s="21" t="s">
        <v>31</v>
      </c>
      <c r="E3" s="21" t="s">
        <v>28</v>
      </c>
      <c r="F3" s="21" t="n">
        <v>44</v>
      </c>
      <c r="G3" s="22" t="n">
        <v>43893</v>
      </c>
      <c r="H3" s="21" t="n">
        <v>75949</v>
      </c>
      <c r="I3" s="21" t="s">
        <v>18</v>
      </c>
      <c r="J3" s="21" t="n">
        <v>23400</v>
      </c>
    </row>
    <row r="4" customFormat="false" ht="14.25" hidden="false" customHeight="false" outlineLevel="0" collapsed="false">
      <c r="A4" s="19" t="n">
        <v>3</v>
      </c>
      <c r="B4" s="19" t="s">
        <v>43</v>
      </c>
      <c r="C4" s="19" t="s">
        <v>15</v>
      </c>
      <c r="D4" s="19" t="s">
        <v>33</v>
      </c>
      <c r="E4" s="19" t="s">
        <v>28</v>
      </c>
      <c r="F4" s="19" t="n">
        <v>47</v>
      </c>
      <c r="G4" s="20" t="n">
        <v>45611</v>
      </c>
      <c r="H4" s="19" t="n">
        <v>64767</v>
      </c>
      <c r="I4" s="19" t="s">
        <v>18</v>
      </c>
      <c r="J4" s="19" t="n">
        <v>26692</v>
      </c>
    </row>
    <row r="5" customFormat="false" ht="14.25" hidden="false" customHeight="false" outlineLevel="0" collapsed="false">
      <c r="A5" s="21" t="n">
        <v>4</v>
      </c>
      <c r="B5" s="21" t="s">
        <v>42</v>
      </c>
      <c r="C5" s="21" t="s">
        <v>22</v>
      </c>
      <c r="D5" s="21" t="s">
        <v>32</v>
      </c>
      <c r="E5" s="21" t="s">
        <v>30</v>
      </c>
      <c r="F5" s="21" t="n">
        <v>40</v>
      </c>
      <c r="G5" s="22" t="n">
        <v>46054</v>
      </c>
      <c r="H5" s="21" t="n">
        <v>90143</v>
      </c>
      <c r="I5" s="21" t="s">
        <v>20</v>
      </c>
      <c r="J5" s="21" t="n">
        <v>16952</v>
      </c>
    </row>
    <row r="6" customFormat="false" ht="14.25" hidden="false" customHeight="false" outlineLevel="0" collapsed="false">
      <c r="A6" s="19" t="n">
        <v>5</v>
      </c>
      <c r="B6" s="19" t="s">
        <v>44</v>
      </c>
      <c r="C6" s="19" t="s">
        <v>22</v>
      </c>
      <c r="D6" s="19" t="s">
        <v>31</v>
      </c>
      <c r="E6" s="19" t="s">
        <v>30</v>
      </c>
      <c r="F6" s="19" t="n">
        <v>52</v>
      </c>
      <c r="G6" s="20" t="n">
        <v>43156</v>
      </c>
      <c r="H6" s="19" t="n">
        <v>104075</v>
      </c>
      <c r="I6" s="19" t="s">
        <v>16</v>
      </c>
      <c r="J6" s="19" t="n">
        <v>27858</v>
      </c>
    </row>
    <row r="7" customFormat="false" ht="14.25" hidden="false" customHeight="false" outlineLevel="0" collapsed="false">
      <c r="A7" s="21" t="n">
        <v>6</v>
      </c>
      <c r="B7" s="21" t="s">
        <v>45</v>
      </c>
      <c r="C7" s="21" t="s">
        <v>17</v>
      </c>
      <c r="D7" s="21" t="s">
        <v>33</v>
      </c>
      <c r="E7" s="21" t="s">
        <v>30</v>
      </c>
      <c r="F7" s="21" t="n">
        <v>36</v>
      </c>
      <c r="G7" s="22" t="n">
        <v>43907</v>
      </c>
      <c r="H7" s="21" t="n">
        <v>104686</v>
      </c>
      <c r="I7" s="21" t="s">
        <v>18</v>
      </c>
      <c r="J7" s="21" t="n">
        <v>14316</v>
      </c>
    </row>
    <row r="8" customFormat="false" ht="14.25" hidden="false" customHeight="false" outlineLevel="0" collapsed="false">
      <c r="A8" s="19" t="n">
        <v>7</v>
      </c>
      <c r="B8" s="19" t="s">
        <v>46</v>
      </c>
      <c r="C8" s="19" t="s">
        <v>19</v>
      </c>
      <c r="D8" s="19" t="s">
        <v>29</v>
      </c>
      <c r="E8" s="19" t="s">
        <v>28</v>
      </c>
      <c r="F8" s="19" t="n">
        <v>48</v>
      </c>
      <c r="G8" s="20" t="n">
        <v>45460</v>
      </c>
      <c r="H8" s="19" t="n">
        <v>33805</v>
      </c>
      <c r="I8" s="19" t="s">
        <v>20</v>
      </c>
      <c r="J8" s="19" t="n">
        <v>16523</v>
      </c>
    </row>
    <row r="9" customFormat="false" ht="14.25" hidden="false" customHeight="false" outlineLevel="0" collapsed="false">
      <c r="A9" s="21" t="n">
        <v>8</v>
      </c>
      <c r="B9" s="21" t="s">
        <v>47</v>
      </c>
      <c r="C9" s="21" t="s">
        <v>19</v>
      </c>
      <c r="D9" s="21" t="s">
        <v>33</v>
      </c>
      <c r="E9" s="21" t="s">
        <v>30</v>
      </c>
      <c r="F9" s="21" t="n">
        <v>40</v>
      </c>
      <c r="G9" s="22" t="n">
        <v>43234</v>
      </c>
      <c r="H9" s="21" t="n">
        <v>90262</v>
      </c>
      <c r="I9" s="21" t="s">
        <v>20</v>
      </c>
      <c r="J9" s="21" t="n">
        <v>25168</v>
      </c>
    </row>
    <row r="10" customFormat="false" ht="14.25" hidden="false" customHeight="false" outlineLevel="0" collapsed="false">
      <c r="A10" s="19" t="n">
        <v>9</v>
      </c>
      <c r="B10" s="19" t="s">
        <v>48</v>
      </c>
      <c r="C10" s="19" t="s">
        <v>22</v>
      </c>
      <c r="D10" s="19" t="s">
        <v>32</v>
      </c>
      <c r="E10" s="19" t="s">
        <v>30</v>
      </c>
      <c r="F10" s="19" t="n">
        <v>30</v>
      </c>
      <c r="G10" s="20" t="n">
        <v>44188</v>
      </c>
      <c r="H10" s="19" t="n">
        <v>91793</v>
      </c>
      <c r="I10" s="19" t="s">
        <v>18</v>
      </c>
      <c r="J10" s="19" t="n">
        <v>29950</v>
      </c>
    </row>
    <row r="11" customFormat="false" ht="14.25" hidden="false" customHeight="false" outlineLevel="0" collapsed="false">
      <c r="A11" s="21" t="n">
        <v>10</v>
      </c>
      <c r="B11" s="21" t="s">
        <v>49</v>
      </c>
      <c r="C11" s="21" t="s">
        <v>19</v>
      </c>
      <c r="D11" s="21" t="s">
        <v>32</v>
      </c>
      <c r="E11" s="21" t="s">
        <v>30</v>
      </c>
      <c r="F11" s="21" t="n">
        <v>42</v>
      </c>
      <c r="G11" s="22" t="n">
        <v>44266</v>
      </c>
      <c r="H11" s="21" t="n">
        <v>117019</v>
      </c>
      <c r="I11" s="21" t="s">
        <v>16</v>
      </c>
      <c r="J11" s="21" t="n">
        <v>18249</v>
      </c>
    </row>
    <row r="12" customFormat="false" ht="14.25" hidden="false" customHeight="false" outlineLevel="0" collapsed="false">
      <c r="A12" s="19" t="n">
        <v>11</v>
      </c>
      <c r="B12" s="19" t="s">
        <v>50</v>
      </c>
      <c r="C12" s="19" t="s">
        <v>19</v>
      </c>
      <c r="D12" s="19" t="s">
        <v>27</v>
      </c>
      <c r="E12" s="19" t="s">
        <v>30</v>
      </c>
      <c r="F12" s="19" t="n">
        <v>51</v>
      </c>
      <c r="G12" s="20" t="n">
        <v>45685</v>
      </c>
      <c r="H12" s="19" t="n">
        <v>37761</v>
      </c>
      <c r="I12" s="19" t="s">
        <v>20</v>
      </c>
      <c r="J12" s="19" t="n">
        <v>23287</v>
      </c>
    </row>
    <row r="13" customFormat="false" ht="14.25" hidden="false" customHeight="false" outlineLevel="0" collapsed="false">
      <c r="A13" s="21" t="n">
        <v>12</v>
      </c>
      <c r="B13" s="21" t="s">
        <v>51</v>
      </c>
      <c r="C13" s="21" t="s">
        <v>19</v>
      </c>
      <c r="D13" s="21" t="s">
        <v>29</v>
      </c>
      <c r="E13" s="21" t="s">
        <v>28</v>
      </c>
      <c r="F13" s="21" t="n">
        <v>57</v>
      </c>
      <c r="G13" s="22" t="n">
        <v>45456</v>
      </c>
      <c r="H13" s="21" t="n">
        <v>34101</v>
      </c>
      <c r="I13" s="21" t="s">
        <v>20</v>
      </c>
      <c r="J13" s="21" t="n">
        <v>15241</v>
      </c>
    </row>
    <row r="14" customFormat="false" ht="14.25" hidden="false" customHeight="false" outlineLevel="0" collapsed="false">
      <c r="A14" s="19" t="n">
        <v>13</v>
      </c>
      <c r="B14" s="19" t="s">
        <v>48</v>
      </c>
      <c r="C14" s="19" t="s">
        <v>17</v>
      </c>
      <c r="D14" s="19" t="s">
        <v>32</v>
      </c>
      <c r="E14" s="19" t="s">
        <v>28</v>
      </c>
      <c r="F14" s="19" t="n">
        <v>25</v>
      </c>
      <c r="G14" s="20" t="n">
        <v>45175</v>
      </c>
      <c r="H14" s="19" t="n">
        <v>99944</v>
      </c>
      <c r="I14" s="19" t="s">
        <v>18</v>
      </c>
      <c r="J14" s="19" t="n">
        <v>9752</v>
      </c>
    </row>
    <row r="15" customFormat="false" ht="14.25" hidden="false" customHeight="false" outlineLevel="0" collapsed="false">
      <c r="A15" s="21" t="n">
        <v>14</v>
      </c>
      <c r="B15" s="21" t="s">
        <v>43</v>
      </c>
      <c r="C15" s="21" t="s">
        <v>21</v>
      </c>
      <c r="D15" s="21" t="s">
        <v>31</v>
      </c>
      <c r="E15" s="21" t="s">
        <v>30</v>
      </c>
      <c r="F15" s="21" t="n">
        <v>31</v>
      </c>
      <c r="G15" s="22" t="n">
        <v>45618</v>
      </c>
      <c r="H15" s="21" t="n">
        <v>45982</v>
      </c>
      <c r="I15" s="21" t="s">
        <v>18</v>
      </c>
      <c r="J15" s="21" t="n">
        <v>8436</v>
      </c>
    </row>
    <row r="16" customFormat="false" ht="14.25" hidden="false" customHeight="false" outlineLevel="0" collapsed="false">
      <c r="A16" s="19" t="n">
        <v>15</v>
      </c>
      <c r="B16" s="19" t="s">
        <v>49</v>
      </c>
      <c r="C16" s="19" t="s">
        <v>22</v>
      </c>
      <c r="D16" s="19" t="s">
        <v>29</v>
      </c>
      <c r="E16" s="19" t="s">
        <v>30</v>
      </c>
      <c r="F16" s="19" t="n">
        <v>30</v>
      </c>
      <c r="G16" s="20" t="n">
        <v>43842</v>
      </c>
      <c r="H16" s="19" t="n">
        <v>33803</v>
      </c>
      <c r="I16" s="19" t="s">
        <v>18</v>
      </c>
      <c r="J16" s="19" t="n">
        <v>7035</v>
      </c>
    </row>
    <row r="17" customFormat="false" ht="14.25" hidden="false" customHeight="false" outlineLevel="0" collapsed="false">
      <c r="A17" s="21" t="n">
        <v>16</v>
      </c>
      <c r="B17" s="21" t="s">
        <v>52</v>
      </c>
      <c r="C17" s="21" t="s">
        <v>22</v>
      </c>
      <c r="D17" s="21" t="s">
        <v>29</v>
      </c>
      <c r="E17" s="21" t="s">
        <v>30</v>
      </c>
      <c r="F17" s="21" t="n">
        <v>49</v>
      </c>
      <c r="G17" s="22" t="n">
        <v>43490</v>
      </c>
      <c r="H17" s="21" t="n">
        <v>38233</v>
      </c>
      <c r="I17" s="21" t="s">
        <v>18</v>
      </c>
      <c r="J17" s="21" t="n">
        <v>24441</v>
      </c>
    </row>
    <row r="18" customFormat="false" ht="14.25" hidden="false" customHeight="false" outlineLevel="0" collapsed="false">
      <c r="A18" s="19" t="n">
        <v>17</v>
      </c>
      <c r="B18" s="19" t="s">
        <v>53</v>
      </c>
      <c r="C18" s="19" t="s">
        <v>21</v>
      </c>
      <c r="D18" s="19" t="s">
        <v>27</v>
      </c>
      <c r="E18" s="19" t="s">
        <v>28</v>
      </c>
      <c r="F18" s="19" t="n">
        <v>41</v>
      </c>
      <c r="G18" s="20" t="n">
        <v>43835</v>
      </c>
      <c r="H18" s="19" t="n">
        <v>43972</v>
      </c>
      <c r="I18" s="19" t="s">
        <v>20</v>
      </c>
      <c r="J18" s="19" t="n">
        <v>21856</v>
      </c>
    </row>
    <row r="19" customFormat="false" ht="14.25" hidden="false" customHeight="false" outlineLevel="0" collapsed="false">
      <c r="A19" s="21" t="n">
        <v>18</v>
      </c>
      <c r="B19" s="21" t="s">
        <v>47</v>
      </c>
      <c r="C19" s="21" t="s">
        <v>22</v>
      </c>
      <c r="D19" s="21" t="s">
        <v>32</v>
      </c>
      <c r="E19" s="21" t="s">
        <v>28</v>
      </c>
      <c r="F19" s="21" t="n">
        <v>25</v>
      </c>
      <c r="G19" s="22" t="n">
        <v>43377</v>
      </c>
      <c r="H19" s="21" t="n">
        <v>115334</v>
      </c>
      <c r="I19" s="21" t="s">
        <v>18</v>
      </c>
      <c r="J19" s="21" t="n">
        <v>7581</v>
      </c>
    </row>
    <row r="20" customFormat="false" ht="14.25" hidden="false" customHeight="false" outlineLevel="0" collapsed="false">
      <c r="A20" s="19" t="n">
        <v>19</v>
      </c>
      <c r="B20" s="19" t="s">
        <v>54</v>
      </c>
      <c r="C20" s="19" t="s">
        <v>22</v>
      </c>
      <c r="D20" s="19" t="s">
        <v>32</v>
      </c>
      <c r="E20" s="19" t="s">
        <v>28</v>
      </c>
      <c r="F20" s="19" t="n">
        <v>43</v>
      </c>
      <c r="G20" s="20" t="n">
        <v>45483</v>
      </c>
      <c r="H20" s="19" t="n">
        <v>82851</v>
      </c>
      <c r="I20" s="19" t="s">
        <v>18</v>
      </c>
      <c r="J20" s="19" t="n">
        <v>12455</v>
      </c>
    </row>
    <row r="21" customFormat="false" ht="14.25" hidden="false" customHeight="false" outlineLevel="0" collapsed="false">
      <c r="A21" s="21" t="n">
        <v>20</v>
      </c>
      <c r="B21" s="21" t="s">
        <v>55</v>
      </c>
      <c r="C21" s="21" t="s">
        <v>22</v>
      </c>
      <c r="D21" s="21" t="s">
        <v>29</v>
      </c>
      <c r="E21" s="21" t="s">
        <v>28</v>
      </c>
      <c r="F21" s="21" t="n">
        <v>37</v>
      </c>
      <c r="G21" s="22" t="n">
        <v>44175</v>
      </c>
      <c r="H21" s="21" t="n">
        <v>71264</v>
      </c>
      <c r="I21" s="21" t="s">
        <v>20</v>
      </c>
      <c r="J21" s="21" t="n">
        <v>19420</v>
      </c>
    </row>
    <row r="22" customFormat="false" ht="14.25" hidden="false" customHeight="false" outlineLevel="0" collapsed="false">
      <c r="A22" s="19" t="n">
        <v>21</v>
      </c>
      <c r="B22" s="19" t="s">
        <v>46</v>
      </c>
      <c r="C22" s="19" t="s">
        <v>15</v>
      </c>
      <c r="D22" s="19" t="s">
        <v>31</v>
      </c>
      <c r="E22" s="19" t="s">
        <v>30</v>
      </c>
      <c r="F22" s="19" t="n">
        <v>31</v>
      </c>
      <c r="G22" s="20" t="n">
        <v>46050</v>
      </c>
      <c r="H22" s="19" t="n">
        <v>118374</v>
      </c>
      <c r="I22" s="19" t="s">
        <v>18</v>
      </c>
      <c r="J22" s="19" t="n">
        <v>17794</v>
      </c>
    </row>
    <row r="23" customFormat="false" ht="14.25" hidden="false" customHeight="false" outlineLevel="0" collapsed="false">
      <c r="A23" s="21" t="n">
        <v>22</v>
      </c>
      <c r="B23" s="21" t="s">
        <v>41</v>
      </c>
      <c r="C23" s="21" t="s">
        <v>15</v>
      </c>
      <c r="D23" s="21" t="s">
        <v>33</v>
      </c>
      <c r="E23" s="21" t="s">
        <v>30</v>
      </c>
      <c r="F23" s="21" t="n">
        <v>26</v>
      </c>
      <c r="G23" s="22" t="n">
        <v>44607</v>
      </c>
      <c r="H23" s="21" t="n">
        <v>99240</v>
      </c>
      <c r="I23" s="21" t="s">
        <v>16</v>
      </c>
      <c r="J23" s="21" t="n">
        <v>27667</v>
      </c>
    </row>
    <row r="24" customFormat="false" ht="14.25" hidden="false" customHeight="false" outlineLevel="0" collapsed="false">
      <c r="A24" s="19" t="n">
        <v>23</v>
      </c>
      <c r="B24" s="19" t="s">
        <v>56</v>
      </c>
      <c r="C24" s="19" t="s">
        <v>17</v>
      </c>
      <c r="D24" s="19" t="s">
        <v>29</v>
      </c>
      <c r="E24" s="19" t="s">
        <v>30</v>
      </c>
      <c r="F24" s="19" t="n">
        <v>24</v>
      </c>
      <c r="G24" s="20" t="n">
        <v>44695</v>
      </c>
      <c r="H24" s="19" t="n">
        <v>106135</v>
      </c>
      <c r="I24" s="19" t="s">
        <v>20</v>
      </c>
      <c r="J24" s="19" t="n">
        <v>8273</v>
      </c>
    </row>
    <row r="25" customFormat="false" ht="14.25" hidden="false" customHeight="false" outlineLevel="0" collapsed="false">
      <c r="A25" s="21" t="n">
        <v>24</v>
      </c>
      <c r="B25" s="21" t="s">
        <v>45</v>
      </c>
      <c r="C25" s="21" t="s">
        <v>22</v>
      </c>
      <c r="D25" s="21" t="s">
        <v>27</v>
      </c>
      <c r="E25" s="21" t="s">
        <v>30</v>
      </c>
      <c r="F25" s="21" t="n">
        <v>29</v>
      </c>
      <c r="G25" s="22" t="n">
        <v>44147</v>
      </c>
      <c r="H25" s="21" t="n">
        <v>78589</v>
      </c>
      <c r="I25" s="21" t="s">
        <v>18</v>
      </c>
      <c r="J25" s="21" t="n">
        <v>22937</v>
      </c>
    </row>
    <row r="26" customFormat="false" ht="14.25" hidden="false" customHeight="false" outlineLevel="0" collapsed="false">
      <c r="A26" s="19" t="n">
        <v>25</v>
      </c>
      <c r="B26" s="19" t="s">
        <v>44</v>
      </c>
      <c r="C26" s="19" t="s">
        <v>15</v>
      </c>
      <c r="D26" s="19" t="s">
        <v>27</v>
      </c>
      <c r="E26" s="19" t="s">
        <v>28</v>
      </c>
      <c r="F26" s="19" t="n">
        <v>52</v>
      </c>
      <c r="G26" s="20" t="n">
        <v>44682</v>
      </c>
      <c r="H26" s="19" t="n">
        <v>48351</v>
      </c>
      <c r="I26" s="19" t="s">
        <v>16</v>
      </c>
      <c r="J26" s="19" t="n">
        <v>14409</v>
      </c>
    </row>
    <row r="27" customFormat="false" ht="14.25" hidden="false" customHeight="false" outlineLevel="0" collapsed="false">
      <c r="A27" s="21" t="n">
        <v>26</v>
      </c>
      <c r="B27" s="21" t="s">
        <v>46</v>
      </c>
      <c r="C27" s="21" t="s">
        <v>15</v>
      </c>
      <c r="D27" s="21" t="s">
        <v>31</v>
      </c>
      <c r="E27" s="21" t="s">
        <v>30</v>
      </c>
      <c r="F27" s="21" t="n">
        <v>54</v>
      </c>
      <c r="G27" s="22" t="n">
        <v>43307</v>
      </c>
      <c r="H27" s="21" t="n">
        <v>45524</v>
      </c>
      <c r="I27" s="21" t="s">
        <v>20</v>
      </c>
      <c r="J27" s="21" t="n">
        <v>18319</v>
      </c>
    </row>
    <row r="28" customFormat="false" ht="14.25" hidden="false" customHeight="false" outlineLevel="0" collapsed="false">
      <c r="A28" s="19" t="n">
        <v>27</v>
      </c>
      <c r="B28" s="19" t="s">
        <v>57</v>
      </c>
      <c r="C28" s="19" t="s">
        <v>19</v>
      </c>
      <c r="D28" s="19" t="s">
        <v>31</v>
      </c>
      <c r="E28" s="19" t="s">
        <v>30</v>
      </c>
      <c r="F28" s="19" t="n">
        <v>38</v>
      </c>
      <c r="G28" s="20" t="n">
        <v>43105</v>
      </c>
      <c r="H28" s="19" t="n">
        <v>62543</v>
      </c>
      <c r="I28" s="19" t="s">
        <v>16</v>
      </c>
      <c r="J28" s="19" t="n">
        <v>19237</v>
      </c>
    </row>
    <row r="29" customFormat="false" ht="14.25" hidden="false" customHeight="false" outlineLevel="0" collapsed="false">
      <c r="A29" s="21" t="n">
        <v>28</v>
      </c>
      <c r="B29" s="21" t="s">
        <v>52</v>
      </c>
      <c r="C29" s="21" t="s">
        <v>22</v>
      </c>
      <c r="D29" s="21" t="s">
        <v>31</v>
      </c>
      <c r="E29" s="21" t="s">
        <v>28</v>
      </c>
      <c r="F29" s="21" t="n">
        <v>29</v>
      </c>
      <c r="G29" s="22" t="n">
        <v>45101</v>
      </c>
      <c r="H29" s="21" t="n">
        <v>114020</v>
      </c>
      <c r="I29" s="21" t="s">
        <v>18</v>
      </c>
      <c r="J29" s="21" t="n">
        <v>26955</v>
      </c>
    </row>
    <row r="30" customFormat="false" ht="14.25" hidden="false" customHeight="false" outlineLevel="0" collapsed="false">
      <c r="A30" s="19" t="n">
        <v>29</v>
      </c>
      <c r="B30" s="19" t="s">
        <v>54</v>
      </c>
      <c r="C30" s="19" t="s">
        <v>15</v>
      </c>
      <c r="D30" s="19" t="s">
        <v>29</v>
      </c>
      <c r="E30" s="19" t="s">
        <v>28</v>
      </c>
      <c r="F30" s="19" t="n">
        <v>29</v>
      </c>
      <c r="G30" s="20" t="n">
        <v>43121</v>
      </c>
      <c r="H30" s="19" t="n">
        <v>115983</v>
      </c>
      <c r="I30" s="19" t="s">
        <v>16</v>
      </c>
      <c r="J30" s="19" t="n">
        <v>11251</v>
      </c>
    </row>
    <row r="31" customFormat="false" ht="14.25" hidden="false" customHeight="false" outlineLevel="0" collapsed="false">
      <c r="A31" s="21" t="n">
        <v>30</v>
      </c>
      <c r="B31" s="21" t="s">
        <v>45</v>
      </c>
      <c r="C31" s="21" t="s">
        <v>15</v>
      </c>
      <c r="D31" s="21" t="s">
        <v>27</v>
      </c>
      <c r="E31" s="21" t="s">
        <v>30</v>
      </c>
      <c r="F31" s="21" t="n">
        <v>43</v>
      </c>
      <c r="G31" s="22" t="n">
        <v>44228</v>
      </c>
      <c r="H31" s="21" t="n">
        <v>104813</v>
      </c>
      <c r="I31" s="21" t="s">
        <v>18</v>
      </c>
      <c r="J31" s="21" t="n">
        <v>20408</v>
      </c>
    </row>
    <row r="32" customFormat="false" ht="14.25" hidden="false" customHeight="false" outlineLevel="0" collapsed="false">
      <c r="A32" s="19" t="n">
        <v>31</v>
      </c>
      <c r="B32" s="19" t="s">
        <v>55</v>
      </c>
      <c r="C32" s="19" t="s">
        <v>19</v>
      </c>
      <c r="D32" s="19" t="s">
        <v>27</v>
      </c>
      <c r="E32" s="19" t="s">
        <v>30</v>
      </c>
      <c r="F32" s="19" t="n">
        <v>57</v>
      </c>
      <c r="G32" s="20" t="n">
        <v>44173</v>
      </c>
      <c r="H32" s="19" t="n">
        <v>71965</v>
      </c>
      <c r="I32" s="19" t="s">
        <v>16</v>
      </c>
      <c r="J32" s="19" t="n">
        <v>14862</v>
      </c>
    </row>
    <row r="33" customFormat="false" ht="14.25" hidden="false" customHeight="false" outlineLevel="0" collapsed="false">
      <c r="A33" s="21" t="n">
        <v>32</v>
      </c>
      <c r="B33" s="21" t="s">
        <v>49</v>
      </c>
      <c r="C33" s="21" t="s">
        <v>17</v>
      </c>
      <c r="D33" s="21" t="s">
        <v>27</v>
      </c>
      <c r="E33" s="21" t="s">
        <v>28</v>
      </c>
      <c r="F33" s="21" t="n">
        <v>25</v>
      </c>
      <c r="G33" s="22" t="n">
        <v>43357</v>
      </c>
      <c r="H33" s="21" t="n">
        <v>87821</v>
      </c>
      <c r="I33" s="21" t="s">
        <v>16</v>
      </c>
      <c r="J33" s="21" t="n">
        <v>21276</v>
      </c>
    </row>
    <row r="34" customFormat="false" ht="14.25" hidden="false" customHeight="false" outlineLevel="0" collapsed="false">
      <c r="A34" s="19" t="n">
        <v>33</v>
      </c>
      <c r="B34" s="19" t="s">
        <v>41</v>
      </c>
      <c r="C34" s="19" t="s">
        <v>15</v>
      </c>
      <c r="D34" s="19" t="s">
        <v>32</v>
      </c>
      <c r="E34" s="19" t="s">
        <v>30</v>
      </c>
      <c r="F34" s="19" t="n">
        <v>56</v>
      </c>
      <c r="G34" s="20" t="n">
        <v>44184</v>
      </c>
      <c r="H34" s="19" t="n">
        <v>55364</v>
      </c>
      <c r="I34" s="19" t="s">
        <v>18</v>
      </c>
      <c r="J34" s="19" t="n">
        <v>23034</v>
      </c>
    </row>
    <row r="35" customFormat="false" ht="14.25" hidden="false" customHeight="false" outlineLevel="0" collapsed="false">
      <c r="A35" s="21" t="n">
        <v>34</v>
      </c>
      <c r="B35" s="21" t="s">
        <v>48</v>
      </c>
      <c r="C35" s="21" t="s">
        <v>15</v>
      </c>
      <c r="D35" s="21" t="s">
        <v>33</v>
      </c>
      <c r="E35" s="21" t="s">
        <v>30</v>
      </c>
      <c r="F35" s="21" t="n">
        <v>53</v>
      </c>
      <c r="G35" s="22" t="n">
        <v>44462</v>
      </c>
      <c r="H35" s="21" t="n">
        <v>71446</v>
      </c>
      <c r="I35" s="21" t="s">
        <v>18</v>
      </c>
      <c r="J35" s="21" t="n">
        <v>29230</v>
      </c>
    </row>
    <row r="36" customFormat="false" ht="14.25" hidden="false" customHeight="false" outlineLevel="0" collapsed="false">
      <c r="A36" s="19" t="n">
        <v>35</v>
      </c>
      <c r="B36" s="19" t="s">
        <v>46</v>
      </c>
      <c r="C36" s="19" t="s">
        <v>21</v>
      </c>
      <c r="D36" s="19" t="s">
        <v>32</v>
      </c>
      <c r="E36" s="19" t="s">
        <v>28</v>
      </c>
      <c r="F36" s="19" t="n">
        <v>49</v>
      </c>
      <c r="G36" s="20" t="n">
        <v>43491</v>
      </c>
      <c r="H36" s="19" t="n">
        <v>44526</v>
      </c>
      <c r="I36" s="19" t="s">
        <v>18</v>
      </c>
      <c r="J36" s="19" t="n">
        <v>5905</v>
      </c>
    </row>
    <row r="37" customFormat="false" ht="14.25" hidden="false" customHeight="false" outlineLevel="0" collapsed="false">
      <c r="A37" s="21" t="n">
        <v>36</v>
      </c>
      <c r="B37" s="21" t="s">
        <v>53</v>
      </c>
      <c r="C37" s="21" t="s">
        <v>17</v>
      </c>
      <c r="D37" s="21" t="s">
        <v>29</v>
      </c>
      <c r="E37" s="21" t="s">
        <v>28</v>
      </c>
      <c r="F37" s="21" t="n">
        <v>37</v>
      </c>
      <c r="G37" s="22" t="n">
        <v>43882</v>
      </c>
      <c r="H37" s="21" t="n">
        <v>73736</v>
      </c>
      <c r="I37" s="21" t="s">
        <v>16</v>
      </c>
      <c r="J37" s="21" t="n">
        <v>14463</v>
      </c>
    </row>
    <row r="38" customFormat="false" ht="14.25" hidden="false" customHeight="false" outlineLevel="0" collapsed="false">
      <c r="A38" s="19" t="n">
        <v>37</v>
      </c>
      <c r="B38" s="19" t="s">
        <v>58</v>
      </c>
      <c r="C38" s="19" t="s">
        <v>21</v>
      </c>
      <c r="D38" s="19" t="s">
        <v>31</v>
      </c>
      <c r="E38" s="19" t="s">
        <v>28</v>
      </c>
      <c r="F38" s="19" t="n">
        <v>29</v>
      </c>
      <c r="G38" s="20" t="n">
        <v>44553</v>
      </c>
      <c r="H38" s="19" t="n">
        <v>47171</v>
      </c>
      <c r="I38" s="19" t="s">
        <v>18</v>
      </c>
      <c r="J38" s="19" t="n">
        <v>11177</v>
      </c>
    </row>
    <row r="39" customFormat="false" ht="14.25" hidden="false" customHeight="false" outlineLevel="0" collapsed="false">
      <c r="A39" s="21" t="n">
        <v>38</v>
      </c>
      <c r="B39" s="21" t="s">
        <v>55</v>
      </c>
      <c r="C39" s="21" t="s">
        <v>17</v>
      </c>
      <c r="D39" s="21" t="s">
        <v>29</v>
      </c>
      <c r="E39" s="21" t="s">
        <v>30</v>
      </c>
      <c r="F39" s="21" t="n">
        <v>38</v>
      </c>
      <c r="G39" s="22" t="n">
        <v>43373</v>
      </c>
      <c r="H39" s="21" t="n">
        <v>46608</v>
      </c>
      <c r="I39" s="21" t="s">
        <v>16</v>
      </c>
      <c r="J39" s="21" t="n">
        <v>5973</v>
      </c>
    </row>
    <row r="40" customFormat="false" ht="14.25" hidden="false" customHeight="false" outlineLevel="0" collapsed="false">
      <c r="A40" s="19" t="n">
        <v>39</v>
      </c>
      <c r="B40" s="19" t="s">
        <v>46</v>
      </c>
      <c r="C40" s="19" t="s">
        <v>22</v>
      </c>
      <c r="D40" s="19" t="s">
        <v>33</v>
      </c>
      <c r="E40" s="19" t="s">
        <v>30</v>
      </c>
      <c r="F40" s="19" t="n">
        <v>45</v>
      </c>
      <c r="G40" s="20" t="n">
        <v>46008</v>
      </c>
      <c r="H40" s="19" t="n">
        <v>31783</v>
      </c>
      <c r="I40" s="19" t="s">
        <v>20</v>
      </c>
      <c r="J40" s="19" t="n">
        <v>18256</v>
      </c>
    </row>
    <row r="41" customFormat="false" ht="14.25" hidden="false" customHeight="false" outlineLevel="0" collapsed="false">
      <c r="A41" s="21" t="n">
        <v>40</v>
      </c>
      <c r="B41" s="21" t="s">
        <v>58</v>
      </c>
      <c r="C41" s="21" t="s">
        <v>17</v>
      </c>
      <c r="D41" s="21" t="s">
        <v>31</v>
      </c>
      <c r="E41" s="21" t="s">
        <v>30</v>
      </c>
      <c r="F41" s="21" t="n">
        <v>30</v>
      </c>
      <c r="G41" s="22" t="n">
        <v>44065</v>
      </c>
      <c r="H41" s="21" t="n">
        <v>105039</v>
      </c>
      <c r="I41" s="21" t="s">
        <v>16</v>
      </c>
      <c r="J41" s="21" t="n">
        <v>17374</v>
      </c>
    </row>
    <row r="42" customFormat="false" ht="14.25" hidden="false" customHeight="false" outlineLevel="0" collapsed="false">
      <c r="A42" s="19" t="n">
        <v>41</v>
      </c>
      <c r="B42" s="19" t="s">
        <v>46</v>
      </c>
      <c r="C42" s="19" t="s">
        <v>17</v>
      </c>
      <c r="D42" s="19" t="s">
        <v>32</v>
      </c>
      <c r="E42" s="19" t="s">
        <v>28</v>
      </c>
      <c r="F42" s="19" t="n">
        <v>24</v>
      </c>
      <c r="G42" s="20" t="n">
        <v>44905</v>
      </c>
      <c r="H42" s="19" t="n">
        <v>39874</v>
      </c>
      <c r="I42" s="19" t="s">
        <v>18</v>
      </c>
      <c r="J42" s="19" t="n">
        <v>23115</v>
      </c>
    </row>
    <row r="43" customFormat="false" ht="14.25" hidden="false" customHeight="false" outlineLevel="0" collapsed="false">
      <c r="A43" s="21" t="n">
        <v>42</v>
      </c>
      <c r="B43" s="21" t="s">
        <v>56</v>
      </c>
      <c r="C43" s="21" t="s">
        <v>22</v>
      </c>
      <c r="D43" s="21" t="s">
        <v>27</v>
      </c>
      <c r="E43" s="21" t="s">
        <v>28</v>
      </c>
      <c r="F43" s="21" t="n">
        <v>45</v>
      </c>
      <c r="G43" s="22" t="n">
        <v>44192</v>
      </c>
      <c r="H43" s="21" t="n">
        <v>41645</v>
      </c>
      <c r="I43" s="21" t="s">
        <v>18</v>
      </c>
      <c r="J43" s="21" t="n">
        <v>13988</v>
      </c>
    </row>
    <row r="44" customFormat="false" ht="14.25" hidden="false" customHeight="false" outlineLevel="0" collapsed="false">
      <c r="A44" s="19" t="n">
        <v>43</v>
      </c>
      <c r="B44" s="19" t="s">
        <v>42</v>
      </c>
      <c r="C44" s="19" t="s">
        <v>19</v>
      </c>
      <c r="D44" s="19" t="s">
        <v>31</v>
      </c>
      <c r="E44" s="19" t="s">
        <v>28</v>
      </c>
      <c r="F44" s="19" t="n">
        <v>48</v>
      </c>
      <c r="G44" s="20" t="n">
        <v>43352</v>
      </c>
      <c r="H44" s="19" t="n">
        <v>100072</v>
      </c>
      <c r="I44" s="19" t="s">
        <v>20</v>
      </c>
      <c r="J44" s="19" t="n">
        <v>18451</v>
      </c>
    </row>
    <row r="45" customFormat="false" ht="14.25" hidden="false" customHeight="false" outlineLevel="0" collapsed="false">
      <c r="A45" s="21" t="n">
        <v>44</v>
      </c>
      <c r="B45" s="21" t="s">
        <v>42</v>
      </c>
      <c r="C45" s="21" t="s">
        <v>22</v>
      </c>
      <c r="D45" s="21" t="s">
        <v>33</v>
      </c>
      <c r="E45" s="21" t="s">
        <v>28</v>
      </c>
      <c r="F45" s="21" t="n">
        <v>37</v>
      </c>
      <c r="G45" s="22" t="n">
        <v>44027</v>
      </c>
      <c r="H45" s="21" t="n">
        <v>60111</v>
      </c>
      <c r="I45" s="21" t="s">
        <v>20</v>
      </c>
      <c r="J45" s="21" t="n">
        <v>13883</v>
      </c>
    </row>
    <row r="46" customFormat="false" ht="14.25" hidden="false" customHeight="false" outlineLevel="0" collapsed="false">
      <c r="A46" s="19" t="n">
        <v>45</v>
      </c>
      <c r="B46" s="19" t="s">
        <v>58</v>
      </c>
      <c r="C46" s="19" t="s">
        <v>21</v>
      </c>
      <c r="D46" s="19" t="s">
        <v>32</v>
      </c>
      <c r="E46" s="19" t="s">
        <v>28</v>
      </c>
      <c r="F46" s="19" t="n">
        <v>52</v>
      </c>
      <c r="G46" s="20" t="n">
        <v>45136</v>
      </c>
      <c r="H46" s="19" t="n">
        <v>78492</v>
      </c>
      <c r="I46" s="19" t="s">
        <v>16</v>
      </c>
      <c r="J46" s="19" t="n">
        <v>18662</v>
      </c>
    </row>
    <row r="47" customFormat="false" ht="14.25" hidden="false" customHeight="false" outlineLevel="0" collapsed="false">
      <c r="A47" s="21" t="n">
        <v>46</v>
      </c>
      <c r="B47" s="21" t="s">
        <v>44</v>
      </c>
      <c r="C47" s="21" t="s">
        <v>21</v>
      </c>
      <c r="D47" s="21" t="s">
        <v>31</v>
      </c>
      <c r="E47" s="21" t="s">
        <v>28</v>
      </c>
      <c r="F47" s="21" t="n">
        <v>40</v>
      </c>
      <c r="G47" s="22" t="n">
        <v>44003</v>
      </c>
      <c r="H47" s="21" t="n">
        <v>37116</v>
      </c>
      <c r="I47" s="21" t="s">
        <v>20</v>
      </c>
      <c r="J47" s="21" t="n">
        <v>14468</v>
      </c>
    </row>
    <row r="48" customFormat="false" ht="14.25" hidden="false" customHeight="false" outlineLevel="0" collapsed="false">
      <c r="A48" s="19" t="n">
        <v>47</v>
      </c>
      <c r="B48" s="19" t="s">
        <v>56</v>
      </c>
      <c r="C48" s="19" t="s">
        <v>22</v>
      </c>
      <c r="D48" s="19" t="s">
        <v>32</v>
      </c>
      <c r="E48" s="19" t="s">
        <v>28</v>
      </c>
      <c r="F48" s="19" t="n">
        <v>39</v>
      </c>
      <c r="G48" s="20" t="n">
        <v>44981</v>
      </c>
      <c r="H48" s="19" t="n">
        <v>56751</v>
      </c>
      <c r="I48" s="19" t="s">
        <v>18</v>
      </c>
      <c r="J48" s="19" t="n">
        <v>20785</v>
      </c>
    </row>
    <row r="49" customFormat="false" ht="14.25" hidden="false" customHeight="false" outlineLevel="0" collapsed="false">
      <c r="A49" s="21" t="n">
        <v>48</v>
      </c>
      <c r="B49" s="21" t="s">
        <v>59</v>
      </c>
      <c r="C49" s="21" t="s">
        <v>22</v>
      </c>
      <c r="D49" s="21" t="s">
        <v>27</v>
      </c>
      <c r="E49" s="21" t="s">
        <v>30</v>
      </c>
      <c r="F49" s="21" t="n">
        <v>47</v>
      </c>
      <c r="G49" s="22" t="n">
        <v>45962</v>
      </c>
      <c r="H49" s="21" t="n">
        <v>92144</v>
      </c>
      <c r="I49" s="21" t="s">
        <v>16</v>
      </c>
      <c r="J49" s="21" t="n">
        <v>17109</v>
      </c>
    </row>
    <row r="50" customFormat="false" ht="14.25" hidden="false" customHeight="false" outlineLevel="0" collapsed="false">
      <c r="A50" s="19" t="n">
        <v>49</v>
      </c>
      <c r="B50" s="19" t="s">
        <v>52</v>
      </c>
      <c r="C50" s="19" t="s">
        <v>15</v>
      </c>
      <c r="D50" s="19" t="s">
        <v>32</v>
      </c>
      <c r="E50" s="19" t="s">
        <v>28</v>
      </c>
      <c r="F50" s="19" t="n">
        <v>58</v>
      </c>
      <c r="G50" s="20" t="n">
        <v>44539</v>
      </c>
      <c r="H50" s="19" t="n">
        <v>69861</v>
      </c>
      <c r="I50" s="19" t="s">
        <v>18</v>
      </c>
      <c r="J50" s="19" t="n">
        <v>25311</v>
      </c>
    </row>
    <row r="51" customFormat="false" ht="14.25" hidden="false" customHeight="false" outlineLevel="0" collapsed="false">
      <c r="A51" s="21" t="n">
        <v>50</v>
      </c>
      <c r="B51" s="21" t="s">
        <v>54</v>
      </c>
      <c r="C51" s="21" t="s">
        <v>15</v>
      </c>
      <c r="D51" s="21" t="s">
        <v>27</v>
      </c>
      <c r="E51" s="21" t="s">
        <v>30</v>
      </c>
      <c r="F51" s="21" t="n">
        <v>23</v>
      </c>
      <c r="G51" s="22" t="n">
        <v>45480</v>
      </c>
      <c r="H51" s="21" t="n">
        <v>77869</v>
      </c>
      <c r="I51" s="21" t="s">
        <v>16</v>
      </c>
      <c r="J51" s="21" t="n">
        <v>15866</v>
      </c>
    </row>
    <row r="52" customFormat="false" ht="14.25" hidden="false" customHeight="false" outlineLevel="0" collapsed="false">
      <c r="A52" s="19" t="n">
        <v>51</v>
      </c>
      <c r="B52" s="19" t="s">
        <v>55</v>
      </c>
      <c r="C52" s="19" t="s">
        <v>21</v>
      </c>
      <c r="D52" s="19" t="s">
        <v>33</v>
      </c>
      <c r="E52" s="19" t="s">
        <v>28</v>
      </c>
      <c r="F52" s="19" t="n">
        <v>37</v>
      </c>
      <c r="G52" s="20" t="n">
        <v>45434</v>
      </c>
      <c r="H52" s="19" t="n">
        <v>78073</v>
      </c>
      <c r="I52" s="19" t="s">
        <v>16</v>
      </c>
      <c r="J52" s="19" t="n">
        <v>5937</v>
      </c>
    </row>
    <row r="53" customFormat="false" ht="14.25" hidden="false" customHeight="false" outlineLevel="0" collapsed="false">
      <c r="A53" s="21" t="n">
        <v>52</v>
      </c>
      <c r="B53" s="21" t="s">
        <v>51</v>
      </c>
      <c r="C53" s="21" t="s">
        <v>15</v>
      </c>
      <c r="D53" s="21" t="s">
        <v>33</v>
      </c>
      <c r="E53" s="21" t="s">
        <v>30</v>
      </c>
      <c r="F53" s="21" t="n">
        <v>41</v>
      </c>
      <c r="G53" s="22" t="n">
        <v>44659</v>
      </c>
      <c r="H53" s="21" t="n">
        <v>58232</v>
      </c>
      <c r="I53" s="21" t="s">
        <v>16</v>
      </c>
      <c r="J53" s="21" t="n">
        <v>27146</v>
      </c>
    </row>
    <row r="54" customFormat="false" ht="14.25" hidden="false" customHeight="false" outlineLevel="0" collapsed="false">
      <c r="A54" s="19" t="n">
        <v>53</v>
      </c>
      <c r="B54" s="19" t="s">
        <v>58</v>
      </c>
      <c r="C54" s="19" t="s">
        <v>21</v>
      </c>
      <c r="D54" s="19" t="s">
        <v>33</v>
      </c>
      <c r="E54" s="19" t="s">
        <v>30</v>
      </c>
      <c r="F54" s="19" t="n">
        <v>39</v>
      </c>
      <c r="G54" s="20" t="n">
        <v>45658</v>
      </c>
      <c r="H54" s="19" t="n">
        <v>108331</v>
      </c>
      <c r="I54" s="19" t="s">
        <v>18</v>
      </c>
      <c r="J54" s="19" t="n">
        <v>29595</v>
      </c>
    </row>
    <row r="55" customFormat="false" ht="14.25" hidden="false" customHeight="false" outlineLevel="0" collapsed="false">
      <c r="A55" s="21" t="n">
        <v>54</v>
      </c>
      <c r="B55" s="21" t="s">
        <v>57</v>
      </c>
      <c r="C55" s="21" t="s">
        <v>19</v>
      </c>
      <c r="D55" s="21" t="s">
        <v>27</v>
      </c>
      <c r="E55" s="21" t="s">
        <v>28</v>
      </c>
      <c r="F55" s="21" t="n">
        <v>56</v>
      </c>
      <c r="G55" s="22" t="n">
        <v>44843</v>
      </c>
      <c r="H55" s="21" t="n">
        <v>77596</v>
      </c>
      <c r="I55" s="21" t="s">
        <v>16</v>
      </c>
      <c r="J55" s="21" t="n">
        <v>5940</v>
      </c>
    </row>
    <row r="56" customFormat="false" ht="14.25" hidden="false" customHeight="false" outlineLevel="0" collapsed="false">
      <c r="A56" s="19" t="n">
        <v>55</v>
      </c>
      <c r="B56" s="19" t="s">
        <v>46</v>
      </c>
      <c r="C56" s="19" t="s">
        <v>17</v>
      </c>
      <c r="D56" s="19" t="s">
        <v>29</v>
      </c>
      <c r="E56" s="19" t="s">
        <v>30</v>
      </c>
      <c r="F56" s="19" t="n">
        <v>57</v>
      </c>
      <c r="G56" s="20" t="n">
        <v>45447</v>
      </c>
      <c r="H56" s="19" t="n">
        <v>91701</v>
      </c>
      <c r="I56" s="19" t="s">
        <v>18</v>
      </c>
      <c r="J56" s="19" t="n">
        <v>9334</v>
      </c>
    </row>
    <row r="57" customFormat="false" ht="14.25" hidden="false" customHeight="false" outlineLevel="0" collapsed="false">
      <c r="A57" s="21" t="n">
        <v>56</v>
      </c>
      <c r="B57" s="21" t="s">
        <v>42</v>
      </c>
      <c r="C57" s="21" t="s">
        <v>15</v>
      </c>
      <c r="D57" s="21" t="s">
        <v>33</v>
      </c>
      <c r="E57" s="21" t="s">
        <v>30</v>
      </c>
      <c r="F57" s="21" t="n">
        <v>26</v>
      </c>
      <c r="G57" s="22" t="n">
        <v>45338</v>
      </c>
      <c r="H57" s="21" t="n">
        <v>40804</v>
      </c>
      <c r="I57" s="21" t="s">
        <v>20</v>
      </c>
      <c r="J57" s="21" t="n">
        <v>17842</v>
      </c>
    </row>
    <row r="58" customFormat="false" ht="14.25" hidden="false" customHeight="false" outlineLevel="0" collapsed="false">
      <c r="A58" s="19" t="n">
        <v>57</v>
      </c>
      <c r="B58" s="19" t="s">
        <v>45</v>
      </c>
      <c r="C58" s="19" t="s">
        <v>15</v>
      </c>
      <c r="D58" s="19" t="s">
        <v>27</v>
      </c>
      <c r="E58" s="19" t="s">
        <v>30</v>
      </c>
      <c r="F58" s="19" t="n">
        <v>41</v>
      </c>
      <c r="G58" s="20" t="n">
        <v>44188</v>
      </c>
      <c r="H58" s="19" t="n">
        <v>111081</v>
      </c>
      <c r="I58" s="19" t="s">
        <v>20</v>
      </c>
      <c r="J58" s="19" t="n">
        <v>20253</v>
      </c>
    </row>
    <row r="59" customFormat="false" ht="14.25" hidden="false" customHeight="false" outlineLevel="0" collapsed="false">
      <c r="A59" s="21" t="n">
        <v>58</v>
      </c>
      <c r="B59" s="21" t="s">
        <v>58</v>
      </c>
      <c r="C59" s="21" t="s">
        <v>21</v>
      </c>
      <c r="D59" s="21" t="s">
        <v>32</v>
      </c>
      <c r="E59" s="21" t="s">
        <v>28</v>
      </c>
      <c r="F59" s="21" t="n">
        <v>29</v>
      </c>
      <c r="G59" s="22" t="n">
        <v>43734</v>
      </c>
      <c r="H59" s="21" t="n">
        <v>63745</v>
      </c>
      <c r="I59" s="21" t="s">
        <v>20</v>
      </c>
      <c r="J59" s="21" t="n">
        <v>23610</v>
      </c>
    </row>
    <row r="60" customFormat="false" ht="14.25" hidden="false" customHeight="false" outlineLevel="0" collapsed="false">
      <c r="A60" s="19" t="n">
        <v>59</v>
      </c>
      <c r="B60" s="19" t="s">
        <v>55</v>
      </c>
      <c r="C60" s="19" t="s">
        <v>22</v>
      </c>
      <c r="D60" s="19" t="s">
        <v>33</v>
      </c>
      <c r="E60" s="19" t="s">
        <v>28</v>
      </c>
      <c r="F60" s="19" t="n">
        <v>35</v>
      </c>
      <c r="G60" s="20" t="n">
        <v>45880</v>
      </c>
      <c r="H60" s="19" t="n">
        <v>82643</v>
      </c>
      <c r="I60" s="19" t="s">
        <v>20</v>
      </c>
      <c r="J60" s="19" t="n">
        <v>10723</v>
      </c>
    </row>
    <row r="61" customFormat="false" ht="14.25" hidden="false" customHeight="false" outlineLevel="0" collapsed="false">
      <c r="A61" s="21" t="n">
        <v>60</v>
      </c>
      <c r="B61" s="21" t="s">
        <v>48</v>
      </c>
      <c r="C61" s="21" t="s">
        <v>15</v>
      </c>
      <c r="D61" s="21" t="s">
        <v>31</v>
      </c>
      <c r="E61" s="21" t="s">
        <v>30</v>
      </c>
      <c r="F61" s="21" t="n">
        <v>41</v>
      </c>
      <c r="G61" s="22" t="n">
        <v>46085</v>
      </c>
      <c r="H61" s="21" t="n">
        <v>63859</v>
      </c>
      <c r="I61" s="21" t="s">
        <v>20</v>
      </c>
      <c r="J61" s="21" t="n">
        <v>28810</v>
      </c>
    </row>
    <row r="62" customFormat="false" ht="14.25" hidden="false" customHeight="false" outlineLevel="0" collapsed="false">
      <c r="A62" s="19" t="n">
        <v>61</v>
      </c>
      <c r="B62" s="19" t="s">
        <v>51</v>
      </c>
      <c r="C62" s="19" t="s">
        <v>19</v>
      </c>
      <c r="D62" s="19" t="s">
        <v>27</v>
      </c>
      <c r="E62" s="19" t="s">
        <v>28</v>
      </c>
      <c r="F62" s="19" t="n">
        <v>54</v>
      </c>
      <c r="G62" s="20" t="n">
        <v>45536</v>
      </c>
      <c r="H62" s="19" t="n">
        <v>48840</v>
      </c>
      <c r="I62" s="19" t="s">
        <v>18</v>
      </c>
      <c r="J62" s="19" t="n">
        <v>15025</v>
      </c>
    </row>
    <row r="63" customFormat="false" ht="14.25" hidden="false" customHeight="false" outlineLevel="0" collapsed="false">
      <c r="A63" s="21" t="n">
        <v>62</v>
      </c>
      <c r="B63" s="21" t="s">
        <v>51</v>
      </c>
      <c r="C63" s="21" t="s">
        <v>19</v>
      </c>
      <c r="D63" s="21" t="s">
        <v>27</v>
      </c>
      <c r="E63" s="21" t="s">
        <v>30</v>
      </c>
      <c r="F63" s="21" t="n">
        <v>47</v>
      </c>
      <c r="G63" s="22" t="n">
        <v>45190</v>
      </c>
      <c r="H63" s="21" t="n">
        <v>34536</v>
      </c>
      <c r="I63" s="21" t="s">
        <v>18</v>
      </c>
      <c r="J63" s="21" t="n">
        <v>23126</v>
      </c>
    </row>
    <row r="64" customFormat="false" ht="14.25" hidden="false" customHeight="false" outlineLevel="0" collapsed="false">
      <c r="A64" s="19" t="n">
        <v>63</v>
      </c>
      <c r="B64" s="19" t="s">
        <v>42</v>
      </c>
      <c r="C64" s="19" t="s">
        <v>19</v>
      </c>
      <c r="D64" s="19" t="s">
        <v>29</v>
      </c>
      <c r="E64" s="19" t="s">
        <v>28</v>
      </c>
      <c r="F64" s="19" t="n">
        <v>44</v>
      </c>
      <c r="G64" s="20" t="n">
        <v>44171</v>
      </c>
      <c r="H64" s="19" t="n">
        <v>42921</v>
      </c>
      <c r="I64" s="19" t="s">
        <v>20</v>
      </c>
      <c r="J64" s="19" t="n">
        <v>9080</v>
      </c>
    </row>
    <row r="65" customFormat="false" ht="14.25" hidden="false" customHeight="false" outlineLevel="0" collapsed="false">
      <c r="A65" s="21" t="n">
        <v>64</v>
      </c>
      <c r="B65" s="21" t="s">
        <v>48</v>
      </c>
      <c r="C65" s="21" t="s">
        <v>21</v>
      </c>
      <c r="D65" s="21" t="s">
        <v>31</v>
      </c>
      <c r="E65" s="21" t="s">
        <v>28</v>
      </c>
      <c r="F65" s="21" t="n">
        <v>25</v>
      </c>
      <c r="G65" s="22" t="n">
        <v>45398</v>
      </c>
      <c r="H65" s="21" t="n">
        <v>67343</v>
      </c>
      <c r="I65" s="21" t="s">
        <v>20</v>
      </c>
      <c r="J65" s="21" t="n">
        <v>8327</v>
      </c>
    </row>
    <row r="66" customFormat="false" ht="14.25" hidden="false" customHeight="false" outlineLevel="0" collapsed="false">
      <c r="A66" s="19" t="n">
        <v>65</v>
      </c>
      <c r="B66" s="19" t="s">
        <v>43</v>
      </c>
      <c r="C66" s="19" t="s">
        <v>22</v>
      </c>
      <c r="D66" s="19" t="s">
        <v>29</v>
      </c>
      <c r="E66" s="19" t="s">
        <v>30</v>
      </c>
      <c r="F66" s="19" t="n">
        <v>46</v>
      </c>
      <c r="G66" s="20" t="n">
        <v>45065</v>
      </c>
      <c r="H66" s="19" t="n">
        <v>109500</v>
      </c>
      <c r="I66" s="19" t="s">
        <v>18</v>
      </c>
      <c r="J66" s="19" t="n">
        <v>16408</v>
      </c>
    </row>
    <row r="67" customFormat="false" ht="14.25" hidden="false" customHeight="false" outlineLevel="0" collapsed="false">
      <c r="A67" s="21" t="n">
        <v>66</v>
      </c>
      <c r="B67" s="21" t="s">
        <v>50</v>
      </c>
      <c r="C67" s="21" t="s">
        <v>17</v>
      </c>
      <c r="D67" s="21" t="s">
        <v>32</v>
      </c>
      <c r="E67" s="21" t="s">
        <v>30</v>
      </c>
      <c r="F67" s="21" t="n">
        <v>50</v>
      </c>
      <c r="G67" s="22" t="n">
        <v>43631</v>
      </c>
      <c r="H67" s="21" t="n">
        <v>93417</v>
      </c>
      <c r="I67" s="21" t="s">
        <v>20</v>
      </c>
      <c r="J67" s="21" t="n">
        <v>9718</v>
      </c>
    </row>
    <row r="68" customFormat="false" ht="14.25" hidden="false" customHeight="false" outlineLevel="0" collapsed="false">
      <c r="A68" s="19" t="n">
        <v>67</v>
      </c>
      <c r="B68" s="19" t="s">
        <v>48</v>
      </c>
      <c r="C68" s="19" t="s">
        <v>17</v>
      </c>
      <c r="D68" s="19" t="s">
        <v>29</v>
      </c>
      <c r="E68" s="19" t="s">
        <v>30</v>
      </c>
      <c r="F68" s="19" t="n">
        <v>52</v>
      </c>
      <c r="G68" s="20" t="n">
        <v>45024</v>
      </c>
      <c r="H68" s="19" t="n">
        <v>73029</v>
      </c>
      <c r="I68" s="19" t="s">
        <v>16</v>
      </c>
      <c r="J68" s="19" t="n">
        <v>25231</v>
      </c>
    </row>
    <row r="69" customFormat="false" ht="14.25" hidden="false" customHeight="false" outlineLevel="0" collapsed="false">
      <c r="A69" s="21" t="n">
        <v>68</v>
      </c>
      <c r="B69" s="21" t="s">
        <v>60</v>
      </c>
      <c r="C69" s="21" t="s">
        <v>17</v>
      </c>
      <c r="D69" s="21" t="s">
        <v>27</v>
      </c>
      <c r="E69" s="21" t="s">
        <v>28</v>
      </c>
      <c r="F69" s="21" t="n">
        <v>48</v>
      </c>
      <c r="G69" s="22" t="n">
        <v>44506</v>
      </c>
      <c r="H69" s="21" t="n">
        <v>93650</v>
      </c>
      <c r="I69" s="21" t="s">
        <v>18</v>
      </c>
      <c r="J69" s="21" t="n">
        <v>9581</v>
      </c>
    </row>
    <row r="70" customFormat="false" ht="14.25" hidden="false" customHeight="false" outlineLevel="0" collapsed="false">
      <c r="A70" s="19" t="n">
        <v>69</v>
      </c>
      <c r="B70" s="19" t="s">
        <v>51</v>
      </c>
      <c r="C70" s="19" t="s">
        <v>15</v>
      </c>
      <c r="D70" s="19" t="s">
        <v>29</v>
      </c>
      <c r="E70" s="19" t="s">
        <v>30</v>
      </c>
      <c r="F70" s="19" t="n">
        <v>34</v>
      </c>
      <c r="G70" s="20" t="n">
        <v>45891</v>
      </c>
      <c r="H70" s="19" t="n">
        <v>74483</v>
      </c>
      <c r="I70" s="19" t="s">
        <v>18</v>
      </c>
      <c r="J70" s="19" t="n">
        <v>8005</v>
      </c>
    </row>
    <row r="71" customFormat="false" ht="14.25" hidden="false" customHeight="false" outlineLevel="0" collapsed="false">
      <c r="A71" s="21" t="n">
        <v>70</v>
      </c>
      <c r="B71" s="21" t="s">
        <v>53</v>
      </c>
      <c r="C71" s="21" t="s">
        <v>17</v>
      </c>
      <c r="D71" s="21" t="s">
        <v>29</v>
      </c>
      <c r="E71" s="21" t="s">
        <v>28</v>
      </c>
      <c r="F71" s="21" t="n">
        <v>29</v>
      </c>
      <c r="G71" s="22" t="n">
        <v>43810</v>
      </c>
      <c r="H71" s="21" t="n">
        <v>66403</v>
      </c>
      <c r="I71" s="21" t="s">
        <v>20</v>
      </c>
      <c r="J71" s="21" t="n">
        <v>27171</v>
      </c>
    </row>
    <row r="72" customFormat="false" ht="14.25" hidden="false" customHeight="false" outlineLevel="0" collapsed="false">
      <c r="A72" s="19" t="n">
        <v>71</v>
      </c>
      <c r="B72" s="19" t="s">
        <v>60</v>
      </c>
      <c r="C72" s="19" t="s">
        <v>15</v>
      </c>
      <c r="D72" s="19" t="s">
        <v>27</v>
      </c>
      <c r="E72" s="19" t="s">
        <v>30</v>
      </c>
      <c r="F72" s="19" t="n">
        <v>56</v>
      </c>
      <c r="G72" s="20" t="n">
        <v>44697</v>
      </c>
      <c r="H72" s="19" t="n">
        <v>45434</v>
      </c>
      <c r="I72" s="19" t="s">
        <v>16</v>
      </c>
      <c r="J72" s="19" t="n">
        <v>15165</v>
      </c>
    </row>
    <row r="73" customFormat="false" ht="14.25" hidden="false" customHeight="false" outlineLevel="0" collapsed="false">
      <c r="A73" s="21" t="n">
        <v>72</v>
      </c>
      <c r="B73" s="21" t="s">
        <v>58</v>
      </c>
      <c r="C73" s="21" t="s">
        <v>17</v>
      </c>
      <c r="D73" s="21" t="s">
        <v>27</v>
      </c>
      <c r="E73" s="21" t="s">
        <v>30</v>
      </c>
      <c r="F73" s="21" t="n">
        <v>40</v>
      </c>
      <c r="G73" s="22" t="n">
        <v>44670</v>
      </c>
      <c r="H73" s="21" t="n">
        <v>38927</v>
      </c>
      <c r="I73" s="21" t="s">
        <v>16</v>
      </c>
      <c r="J73" s="21" t="n">
        <v>5835</v>
      </c>
    </row>
    <row r="74" customFormat="false" ht="14.25" hidden="false" customHeight="false" outlineLevel="0" collapsed="false">
      <c r="A74" s="19" t="n">
        <v>73</v>
      </c>
      <c r="B74" s="19" t="s">
        <v>56</v>
      </c>
      <c r="C74" s="19" t="s">
        <v>17</v>
      </c>
      <c r="D74" s="19" t="s">
        <v>31</v>
      </c>
      <c r="E74" s="19" t="s">
        <v>30</v>
      </c>
      <c r="F74" s="19" t="n">
        <v>39</v>
      </c>
      <c r="G74" s="20" t="n">
        <v>44941</v>
      </c>
      <c r="H74" s="19" t="n">
        <v>73592</v>
      </c>
      <c r="I74" s="19" t="s">
        <v>18</v>
      </c>
      <c r="J74" s="19" t="n">
        <v>12798</v>
      </c>
    </row>
    <row r="75" customFormat="false" ht="14.25" hidden="false" customHeight="false" outlineLevel="0" collapsed="false">
      <c r="A75" s="21" t="n">
        <v>74</v>
      </c>
      <c r="B75" s="21" t="s">
        <v>41</v>
      </c>
      <c r="C75" s="21" t="s">
        <v>15</v>
      </c>
      <c r="D75" s="21" t="s">
        <v>27</v>
      </c>
      <c r="E75" s="21" t="s">
        <v>28</v>
      </c>
      <c r="F75" s="21" t="n">
        <v>51</v>
      </c>
      <c r="G75" s="22" t="n">
        <v>45627</v>
      </c>
      <c r="H75" s="21" t="n">
        <v>104017</v>
      </c>
      <c r="I75" s="21" t="s">
        <v>18</v>
      </c>
      <c r="J75" s="21" t="n">
        <v>7132</v>
      </c>
    </row>
    <row r="76" customFormat="false" ht="14.25" hidden="false" customHeight="false" outlineLevel="0" collapsed="false">
      <c r="A76" s="19" t="n">
        <v>75</v>
      </c>
      <c r="B76" s="19" t="s">
        <v>54</v>
      </c>
      <c r="C76" s="19" t="s">
        <v>22</v>
      </c>
      <c r="D76" s="19" t="s">
        <v>29</v>
      </c>
      <c r="E76" s="19" t="s">
        <v>30</v>
      </c>
      <c r="F76" s="19" t="n">
        <v>35</v>
      </c>
      <c r="G76" s="20" t="n">
        <v>45276</v>
      </c>
      <c r="H76" s="19" t="n">
        <v>76814</v>
      </c>
      <c r="I76" s="19" t="s">
        <v>18</v>
      </c>
      <c r="J76" s="19" t="n">
        <v>25273</v>
      </c>
    </row>
    <row r="77" customFormat="false" ht="14.25" hidden="false" customHeight="false" outlineLevel="0" collapsed="false">
      <c r="A77" s="21" t="n">
        <v>76</v>
      </c>
      <c r="B77" s="21" t="s">
        <v>57</v>
      </c>
      <c r="C77" s="21" t="s">
        <v>15</v>
      </c>
      <c r="D77" s="21" t="s">
        <v>27</v>
      </c>
      <c r="E77" s="21" t="s">
        <v>30</v>
      </c>
      <c r="F77" s="21" t="n">
        <v>39</v>
      </c>
      <c r="G77" s="22" t="n">
        <v>45261</v>
      </c>
      <c r="H77" s="21" t="n">
        <v>70723</v>
      </c>
      <c r="I77" s="21" t="s">
        <v>16</v>
      </c>
      <c r="J77" s="21" t="n">
        <v>16553</v>
      </c>
    </row>
    <row r="78" customFormat="false" ht="14.25" hidden="false" customHeight="false" outlineLevel="0" collapsed="false">
      <c r="A78" s="19" t="n">
        <v>77</v>
      </c>
      <c r="B78" s="19" t="s">
        <v>48</v>
      </c>
      <c r="C78" s="19" t="s">
        <v>21</v>
      </c>
      <c r="D78" s="19" t="s">
        <v>27</v>
      </c>
      <c r="E78" s="19" t="s">
        <v>30</v>
      </c>
      <c r="F78" s="19" t="n">
        <v>37</v>
      </c>
      <c r="G78" s="20" t="n">
        <v>45523</v>
      </c>
      <c r="H78" s="19" t="n">
        <v>101476</v>
      </c>
      <c r="I78" s="19" t="s">
        <v>20</v>
      </c>
      <c r="J78" s="19" t="n">
        <v>11262</v>
      </c>
    </row>
    <row r="79" customFormat="false" ht="14.25" hidden="false" customHeight="false" outlineLevel="0" collapsed="false">
      <c r="A79" s="21" t="n">
        <v>78</v>
      </c>
      <c r="B79" s="21" t="s">
        <v>50</v>
      </c>
      <c r="C79" s="21" t="s">
        <v>19</v>
      </c>
      <c r="D79" s="21" t="s">
        <v>31</v>
      </c>
      <c r="E79" s="21" t="s">
        <v>28</v>
      </c>
      <c r="F79" s="21" t="n">
        <v>27</v>
      </c>
      <c r="G79" s="22" t="n">
        <v>45445</v>
      </c>
      <c r="H79" s="21" t="n">
        <v>69859</v>
      </c>
      <c r="I79" s="21" t="s">
        <v>20</v>
      </c>
      <c r="J79" s="21" t="n">
        <v>29153</v>
      </c>
    </row>
    <row r="80" customFormat="false" ht="14.25" hidden="false" customHeight="false" outlineLevel="0" collapsed="false">
      <c r="A80" s="19" t="n">
        <v>79</v>
      </c>
      <c r="B80" s="19" t="s">
        <v>43</v>
      </c>
      <c r="C80" s="19" t="s">
        <v>22</v>
      </c>
      <c r="D80" s="19" t="s">
        <v>31</v>
      </c>
      <c r="E80" s="19" t="s">
        <v>30</v>
      </c>
      <c r="F80" s="19" t="n">
        <v>47</v>
      </c>
      <c r="G80" s="20" t="n">
        <v>45857</v>
      </c>
      <c r="H80" s="19" t="n">
        <v>77255</v>
      </c>
      <c r="I80" s="19" t="s">
        <v>20</v>
      </c>
      <c r="J80" s="19" t="n">
        <v>22268</v>
      </c>
    </row>
    <row r="81" customFormat="false" ht="14.25" hidden="false" customHeight="false" outlineLevel="0" collapsed="false">
      <c r="A81" s="21" t="n">
        <v>80</v>
      </c>
      <c r="B81" s="21" t="s">
        <v>59</v>
      </c>
      <c r="C81" s="21" t="s">
        <v>22</v>
      </c>
      <c r="D81" s="21" t="s">
        <v>27</v>
      </c>
      <c r="E81" s="21" t="s">
        <v>28</v>
      </c>
      <c r="F81" s="21" t="n">
        <v>48</v>
      </c>
      <c r="G81" s="22" t="n">
        <v>43342</v>
      </c>
      <c r="H81" s="21" t="n">
        <v>89410</v>
      </c>
      <c r="I81" s="21" t="s">
        <v>16</v>
      </c>
      <c r="J81" s="21" t="n">
        <v>27497</v>
      </c>
    </row>
    <row r="82" customFormat="false" ht="14.25" hidden="false" customHeight="false" outlineLevel="0" collapsed="false">
      <c r="A82" s="19" t="n">
        <v>81</v>
      </c>
      <c r="B82" s="19" t="s">
        <v>48</v>
      </c>
      <c r="C82" s="19" t="s">
        <v>22</v>
      </c>
      <c r="D82" s="19" t="s">
        <v>32</v>
      </c>
      <c r="E82" s="19" t="s">
        <v>28</v>
      </c>
      <c r="F82" s="19" t="n">
        <v>28</v>
      </c>
      <c r="G82" s="20" t="n">
        <v>43623</v>
      </c>
      <c r="H82" s="19" t="n">
        <v>119041</v>
      </c>
      <c r="I82" s="19" t="s">
        <v>18</v>
      </c>
      <c r="J82" s="19" t="n">
        <v>19242</v>
      </c>
    </row>
    <row r="83" customFormat="false" ht="14.25" hidden="false" customHeight="false" outlineLevel="0" collapsed="false">
      <c r="A83" s="21" t="n">
        <v>82</v>
      </c>
      <c r="B83" s="21" t="s">
        <v>45</v>
      </c>
      <c r="C83" s="21" t="s">
        <v>21</v>
      </c>
      <c r="D83" s="21" t="s">
        <v>27</v>
      </c>
      <c r="E83" s="21" t="s">
        <v>28</v>
      </c>
      <c r="F83" s="21" t="n">
        <v>40</v>
      </c>
      <c r="G83" s="22" t="n">
        <v>44913</v>
      </c>
      <c r="H83" s="21" t="n">
        <v>56407</v>
      </c>
      <c r="I83" s="21" t="s">
        <v>18</v>
      </c>
      <c r="J83" s="21" t="n">
        <v>28072</v>
      </c>
    </row>
    <row r="84" customFormat="false" ht="14.25" hidden="false" customHeight="false" outlineLevel="0" collapsed="false">
      <c r="A84" s="19" t="n">
        <v>83</v>
      </c>
      <c r="B84" s="19" t="s">
        <v>46</v>
      </c>
      <c r="C84" s="19" t="s">
        <v>19</v>
      </c>
      <c r="D84" s="19" t="s">
        <v>31</v>
      </c>
      <c r="E84" s="19" t="s">
        <v>28</v>
      </c>
      <c r="F84" s="19" t="n">
        <v>33</v>
      </c>
      <c r="G84" s="20" t="n">
        <v>44205</v>
      </c>
      <c r="H84" s="19" t="n">
        <v>73932</v>
      </c>
      <c r="I84" s="19" t="s">
        <v>16</v>
      </c>
      <c r="J84" s="19" t="n">
        <v>22331</v>
      </c>
    </row>
    <row r="85" customFormat="false" ht="14.25" hidden="false" customHeight="false" outlineLevel="0" collapsed="false">
      <c r="A85" s="21" t="n">
        <v>84</v>
      </c>
      <c r="B85" s="21" t="s">
        <v>51</v>
      </c>
      <c r="C85" s="21" t="s">
        <v>15</v>
      </c>
      <c r="D85" s="21" t="s">
        <v>27</v>
      </c>
      <c r="E85" s="21" t="s">
        <v>30</v>
      </c>
      <c r="F85" s="21" t="n">
        <v>29</v>
      </c>
      <c r="G85" s="22" t="n">
        <v>45000</v>
      </c>
      <c r="H85" s="21" t="n">
        <v>44838</v>
      </c>
      <c r="I85" s="21" t="s">
        <v>16</v>
      </c>
      <c r="J85" s="21" t="n">
        <v>11353</v>
      </c>
    </row>
    <row r="86" customFormat="false" ht="14.25" hidden="false" customHeight="false" outlineLevel="0" collapsed="false">
      <c r="A86" s="19" t="n">
        <v>85</v>
      </c>
      <c r="B86" s="19" t="s">
        <v>55</v>
      </c>
      <c r="C86" s="19" t="s">
        <v>19</v>
      </c>
      <c r="D86" s="19" t="s">
        <v>29</v>
      </c>
      <c r="E86" s="19" t="s">
        <v>30</v>
      </c>
      <c r="F86" s="19" t="n">
        <v>54</v>
      </c>
      <c r="G86" s="20" t="n">
        <v>45551</v>
      </c>
      <c r="H86" s="19" t="n">
        <v>106320</v>
      </c>
      <c r="I86" s="19" t="s">
        <v>18</v>
      </c>
      <c r="J86" s="19" t="n">
        <v>14669</v>
      </c>
    </row>
    <row r="87" customFormat="false" ht="14.25" hidden="false" customHeight="false" outlineLevel="0" collapsed="false">
      <c r="A87" s="21" t="n">
        <v>86</v>
      </c>
      <c r="B87" s="21" t="s">
        <v>58</v>
      </c>
      <c r="C87" s="21" t="s">
        <v>22</v>
      </c>
      <c r="D87" s="21" t="s">
        <v>27</v>
      </c>
      <c r="E87" s="21" t="s">
        <v>30</v>
      </c>
      <c r="F87" s="21" t="n">
        <v>36</v>
      </c>
      <c r="G87" s="22" t="n">
        <v>45409</v>
      </c>
      <c r="H87" s="21" t="n">
        <v>106619</v>
      </c>
      <c r="I87" s="21" t="s">
        <v>16</v>
      </c>
      <c r="J87" s="21" t="n">
        <v>18819</v>
      </c>
    </row>
    <row r="88" customFormat="false" ht="14.25" hidden="false" customHeight="false" outlineLevel="0" collapsed="false">
      <c r="A88" s="19" t="n">
        <v>87</v>
      </c>
      <c r="B88" s="19" t="s">
        <v>57</v>
      </c>
      <c r="C88" s="19" t="s">
        <v>21</v>
      </c>
      <c r="D88" s="19" t="s">
        <v>32</v>
      </c>
      <c r="E88" s="19" t="s">
        <v>28</v>
      </c>
      <c r="F88" s="19" t="n">
        <v>53</v>
      </c>
      <c r="G88" s="20" t="n">
        <v>44249</v>
      </c>
      <c r="H88" s="19" t="n">
        <v>117762</v>
      </c>
      <c r="I88" s="19" t="s">
        <v>18</v>
      </c>
      <c r="J88" s="19" t="n">
        <v>16950</v>
      </c>
    </row>
    <row r="89" customFormat="false" ht="14.25" hidden="false" customHeight="false" outlineLevel="0" collapsed="false">
      <c r="A89" s="21" t="n">
        <v>88</v>
      </c>
      <c r="B89" s="21" t="s">
        <v>42</v>
      </c>
      <c r="C89" s="21" t="s">
        <v>19</v>
      </c>
      <c r="D89" s="21" t="s">
        <v>32</v>
      </c>
      <c r="E89" s="21" t="s">
        <v>28</v>
      </c>
      <c r="F89" s="21" t="n">
        <v>51</v>
      </c>
      <c r="G89" s="22" t="n">
        <v>43775</v>
      </c>
      <c r="H89" s="21" t="n">
        <v>65521</v>
      </c>
      <c r="I89" s="21" t="s">
        <v>20</v>
      </c>
      <c r="J89" s="21" t="n">
        <v>28997</v>
      </c>
    </row>
    <row r="90" customFormat="false" ht="14.25" hidden="false" customHeight="false" outlineLevel="0" collapsed="false">
      <c r="A90" s="19" t="n">
        <v>89</v>
      </c>
      <c r="B90" s="19" t="s">
        <v>44</v>
      </c>
      <c r="C90" s="19" t="s">
        <v>15</v>
      </c>
      <c r="D90" s="19" t="s">
        <v>33</v>
      </c>
      <c r="E90" s="19" t="s">
        <v>30</v>
      </c>
      <c r="F90" s="19" t="n">
        <v>48</v>
      </c>
      <c r="G90" s="20" t="n">
        <v>46042</v>
      </c>
      <c r="H90" s="19" t="n">
        <v>98327</v>
      </c>
      <c r="I90" s="19" t="s">
        <v>18</v>
      </c>
      <c r="J90" s="19" t="n">
        <v>24546</v>
      </c>
    </row>
    <row r="91" customFormat="false" ht="14.25" hidden="false" customHeight="false" outlineLevel="0" collapsed="false">
      <c r="A91" s="21" t="n">
        <v>90</v>
      </c>
      <c r="B91" s="21" t="s">
        <v>46</v>
      </c>
      <c r="C91" s="21" t="s">
        <v>22</v>
      </c>
      <c r="D91" s="21" t="s">
        <v>31</v>
      </c>
      <c r="E91" s="21" t="s">
        <v>28</v>
      </c>
      <c r="F91" s="21" t="n">
        <v>51</v>
      </c>
      <c r="G91" s="22" t="n">
        <v>44855</v>
      </c>
      <c r="H91" s="21" t="n">
        <v>56358</v>
      </c>
      <c r="I91" s="21" t="s">
        <v>18</v>
      </c>
      <c r="J91" s="21" t="n">
        <v>9595</v>
      </c>
    </row>
    <row r="92" customFormat="false" ht="14.25" hidden="false" customHeight="false" outlineLevel="0" collapsed="false">
      <c r="A92" s="19" t="n">
        <v>91</v>
      </c>
      <c r="B92" s="19" t="s">
        <v>53</v>
      </c>
      <c r="C92" s="19" t="s">
        <v>21</v>
      </c>
      <c r="D92" s="19" t="s">
        <v>29</v>
      </c>
      <c r="E92" s="19" t="s">
        <v>28</v>
      </c>
      <c r="F92" s="19" t="n">
        <v>51</v>
      </c>
      <c r="G92" s="20" t="n">
        <v>45221</v>
      </c>
      <c r="H92" s="19" t="n">
        <v>98939</v>
      </c>
      <c r="I92" s="19" t="s">
        <v>16</v>
      </c>
      <c r="J92" s="19" t="n">
        <v>18321</v>
      </c>
    </row>
    <row r="93" customFormat="false" ht="14.25" hidden="false" customHeight="false" outlineLevel="0" collapsed="false">
      <c r="A93" s="21" t="n">
        <v>92</v>
      </c>
      <c r="B93" s="21" t="s">
        <v>49</v>
      </c>
      <c r="C93" s="21" t="s">
        <v>17</v>
      </c>
      <c r="D93" s="21" t="s">
        <v>31</v>
      </c>
      <c r="E93" s="21" t="s">
        <v>30</v>
      </c>
      <c r="F93" s="21" t="n">
        <v>55</v>
      </c>
      <c r="G93" s="22" t="n">
        <v>45429</v>
      </c>
      <c r="H93" s="21" t="n">
        <v>116669</v>
      </c>
      <c r="I93" s="21" t="s">
        <v>16</v>
      </c>
      <c r="J93" s="21" t="n">
        <v>11434</v>
      </c>
    </row>
    <row r="94" customFormat="false" ht="14.25" hidden="false" customHeight="false" outlineLevel="0" collapsed="false">
      <c r="A94" s="19" t="n">
        <v>93</v>
      </c>
      <c r="B94" s="19" t="s">
        <v>49</v>
      </c>
      <c r="C94" s="19" t="s">
        <v>22</v>
      </c>
      <c r="D94" s="19" t="s">
        <v>32</v>
      </c>
      <c r="E94" s="19" t="s">
        <v>30</v>
      </c>
      <c r="F94" s="19" t="n">
        <v>57</v>
      </c>
      <c r="G94" s="20" t="n">
        <v>45930</v>
      </c>
      <c r="H94" s="19" t="n">
        <v>76542</v>
      </c>
      <c r="I94" s="19" t="s">
        <v>16</v>
      </c>
      <c r="J94" s="19" t="n">
        <v>10171</v>
      </c>
    </row>
    <row r="95" customFormat="false" ht="14.25" hidden="false" customHeight="false" outlineLevel="0" collapsed="false">
      <c r="A95" s="21" t="n">
        <v>94</v>
      </c>
      <c r="B95" s="21" t="s">
        <v>47</v>
      </c>
      <c r="C95" s="21" t="s">
        <v>22</v>
      </c>
      <c r="D95" s="21" t="s">
        <v>32</v>
      </c>
      <c r="E95" s="21" t="s">
        <v>28</v>
      </c>
      <c r="F95" s="21" t="n">
        <v>48</v>
      </c>
      <c r="G95" s="22" t="n">
        <v>45034</v>
      </c>
      <c r="H95" s="21" t="n">
        <v>102167</v>
      </c>
      <c r="I95" s="21" t="s">
        <v>16</v>
      </c>
      <c r="J95" s="21" t="n">
        <v>18973</v>
      </c>
    </row>
    <row r="96" customFormat="false" ht="14.25" hidden="false" customHeight="false" outlineLevel="0" collapsed="false">
      <c r="A96" s="19" t="n">
        <v>95</v>
      </c>
      <c r="B96" s="19" t="s">
        <v>54</v>
      </c>
      <c r="C96" s="19" t="s">
        <v>17</v>
      </c>
      <c r="D96" s="19" t="s">
        <v>32</v>
      </c>
      <c r="E96" s="19" t="s">
        <v>30</v>
      </c>
      <c r="F96" s="19" t="n">
        <v>40</v>
      </c>
      <c r="G96" s="20" t="n">
        <v>43219</v>
      </c>
      <c r="H96" s="19" t="n">
        <v>62708</v>
      </c>
      <c r="I96" s="19" t="s">
        <v>16</v>
      </c>
      <c r="J96" s="19" t="n">
        <v>24932</v>
      </c>
    </row>
    <row r="97" customFormat="false" ht="14.25" hidden="false" customHeight="false" outlineLevel="0" collapsed="false">
      <c r="A97" s="21" t="n">
        <v>96</v>
      </c>
      <c r="B97" s="21" t="s">
        <v>44</v>
      </c>
      <c r="C97" s="21" t="s">
        <v>21</v>
      </c>
      <c r="D97" s="21" t="s">
        <v>32</v>
      </c>
      <c r="E97" s="21" t="s">
        <v>30</v>
      </c>
      <c r="F97" s="21" t="n">
        <v>50</v>
      </c>
      <c r="G97" s="22" t="n">
        <v>43579</v>
      </c>
      <c r="H97" s="21" t="n">
        <v>35675</v>
      </c>
      <c r="I97" s="21" t="s">
        <v>20</v>
      </c>
      <c r="J97" s="21" t="n">
        <v>23457</v>
      </c>
    </row>
    <row r="98" customFormat="false" ht="14.25" hidden="false" customHeight="false" outlineLevel="0" collapsed="false">
      <c r="A98" s="19" t="n">
        <v>97</v>
      </c>
      <c r="B98" s="19" t="s">
        <v>53</v>
      </c>
      <c r="C98" s="19" t="s">
        <v>22</v>
      </c>
      <c r="D98" s="19" t="s">
        <v>31</v>
      </c>
      <c r="E98" s="19" t="s">
        <v>28</v>
      </c>
      <c r="F98" s="19" t="n">
        <v>57</v>
      </c>
      <c r="G98" s="20" t="n">
        <v>43851</v>
      </c>
      <c r="H98" s="19" t="n">
        <v>83838</v>
      </c>
      <c r="I98" s="19" t="s">
        <v>16</v>
      </c>
      <c r="J98" s="19" t="n">
        <v>11594</v>
      </c>
    </row>
    <row r="99" customFormat="false" ht="14.25" hidden="false" customHeight="false" outlineLevel="0" collapsed="false">
      <c r="A99" s="21" t="n">
        <v>98</v>
      </c>
      <c r="B99" s="21" t="s">
        <v>54</v>
      </c>
      <c r="C99" s="21" t="s">
        <v>21</v>
      </c>
      <c r="D99" s="21" t="s">
        <v>32</v>
      </c>
      <c r="E99" s="21" t="s">
        <v>28</v>
      </c>
      <c r="F99" s="21" t="n">
        <v>57</v>
      </c>
      <c r="G99" s="22" t="n">
        <v>45230</v>
      </c>
      <c r="H99" s="21" t="n">
        <v>80784</v>
      </c>
      <c r="I99" s="21" t="s">
        <v>20</v>
      </c>
      <c r="J99" s="21" t="n">
        <v>17817</v>
      </c>
    </row>
    <row r="100" customFormat="false" ht="14.25" hidden="false" customHeight="false" outlineLevel="0" collapsed="false">
      <c r="A100" s="19" t="n">
        <v>99</v>
      </c>
      <c r="B100" s="19" t="s">
        <v>56</v>
      </c>
      <c r="C100" s="19" t="s">
        <v>22</v>
      </c>
      <c r="D100" s="19" t="s">
        <v>27</v>
      </c>
      <c r="E100" s="19" t="s">
        <v>30</v>
      </c>
      <c r="F100" s="19" t="n">
        <v>37</v>
      </c>
      <c r="G100" s="20" t="n">
        <v>44436</v>
      </c>
      <c r="H100" s="19" t="n">
        <v>58104</v>
      </c>
      <c r="I100" s="19" t="s">
        <v>18</v>
      </c>
      <c r="J100" s="19" t="n">
        <v>17137</v>
      </c>
    </row>
    <row r="101" customFormat="false" ht="14.25" hidden="false" customHeight="false" outlineLevel="0" collapsed="false">
      <c r="A101" s="21" t="n">
        <v>100</v>
      </c>
      <c r="B101" s="21" t="s">
        <v>49</v>
      </c>
      <c r="C101" s="21" t="s">
        <v>17</v>
      </c>
      <c r="D101" s="21" t="s">
        <v>27</v>
      </c>
      <c r="E101" s="21" t="s">
        <v>28</v>
      </c>
      <c r="F101" s="21" t="n">
        <v>25</v>
      </c>
      <c r="G101" s="22" t="n">
        <v>45975</v>
      </c>
      <c r="H101" s="21" t="n">
        <v>102774</v>
      </c>
      <c r="I101" s="21" t="s">
        <v>16</v>
      </c>
      <c r="J101" s="21" t="n">
        <v>5362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2026-07-15T21:12:49Z</dcterms:created>
  <dc:creator>openpyxl</dc:creator>
  <dc:description/>
  <dc:language>en-US</dc:language>
  <cp:lastModifiedBy/>
  <dcterms:modified xsi:type="dcterms:W3CDTF">2026-07-16T14:23:35Z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